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0.122.82.187\mb vertical\TIENDAS BISSU\SUPERVISOR  ZONA 02\Bissú Porongoche Aqp\"/>
    </mc:Choice>
  </mc:AlternateContent>
  <xr:revisionPtr revIDLastSave="0" documentId="13_ncr:1_{7BF803A8-8E02-4762-83C4-72EBD9DFB194}" xr6:coauthVersionLast="47" xr6:coauthVersionMax="47" xr10:uidLastSave="{00000000-0000-0000-0000-000000000000}"/>
  <bookViews>
    <workbookView xWindow="-120" yWindow="-120" windowWidth="24240" windowHeight="13140" firstSheet="22" activeTab="26" xr2:uid="{C3450C95-BCD9-4FDE-AF26-DA7C86B6A4F9}"/>
  </bookViews>
  <sheets>
    <sheet name="2 AL 8 MARZO" sheetId="1" r:id="rId1"/>
    <sheet name="9 AL 15 MARZO " sheetId="2" r:id="rId2"/>
    <sheet name="16 AL 22 MARZO " sheetId="4" r:id="rId3"/>
    <sheet name="23 AL 29 MARZO  " sheetId="5" r:id="rId4"/>
    <sheet name="30 AL 5 MARZO " sheetId="7" r:id="rId5"/>
    <sheet name="6 AL 12 MARZO" sheetId="6" r:id="rId6"/>
    <sheet name="13 AL 19 MARZO" sheetId="8" r:id="rId7"/>
    <sheet name="20 AL 26 MARZO" sheetId="9" r:id="rId8"/>
    <sheet name="27 AL 02 MAYO  " sheetId="11" r:id="rId9"/>
    <sheet name="03 AL 10 MAYO " sheetId="10" r:id="rId10"/>
    <sheet name="11 AL 17 MAYO  " sheetId="12" r:id="rId11"/>
    <sheet name="18 AL 24 MAYO  " sheetId="13" r:id="rId12"/>
    <sheet name="25 AL 31 MAYO " sheetId="14" r:id="rId13"/>
    <sheet name="1 AL 7 JUNIO  " sheetId="15" r:id="rId14"/>
    <sheet name="8 AL 14 JUNIO" sheetId="16" r:id="rId15"/>
    <sheet name="15 AL 21 JUNIO " sheetId="18" r:id="rId16"/>
    <sheet name="22 AL 28 JUNIO" sheetId="17" r:id="rId17"/>
    <sheet name="29 AL 5 JULIO " sheetId="19" r:id="rId18"/>
    <sheet name="6 AL 12 JULIO " sheetId="20" r:id="rId19"/>
    <sheet name="13 AL 19 JULIO" sheetId="21" r:id="rId20"/>
    <sheet name="20 AL 26 JULIO " sheetId="22" r:id="rId21"/>
    <sheet name="27 AL 02 AGOSTO" sheetId="23" r:id="rId22"/>
    <sheet name="03 AL 09 AGOSTO" sheetId="25" r:id="rId23"/>
    <sheet name="10 AL 16 AGOSTO" sheetId="26" r:id="rId24"/>
    <sheet name="17 AL 23 AGOSTO" sheetId="27" r:id="rId25"/>
    <sheet name="24 AL 30 AGOSTO" sheetId="28" r:id="rId26"/>
    <sheet name="31 AL 06 SEPTIEMBRE" sheetId="30" r:id="rId2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5" i="30" l="1"/>
  <c r="L35" i="30"/>
  <c r="K35" i="30"/>
  <c r="J35" i="30"/>
  <c r="I35" i="30"/>
  <c r="H35" i="30"/>
  <c r="G35" i="30"/>
  <c r="F35" i="30"/>
  <c r="E35" i="30"/>
  <c r="D35" i="30"/>
  <c r="CA34" i="30"/>
  <c r="BZ34" i="30"/>
  <c r="BY34" i="30"/>
  <c r="BX34" i="30"/>
  <c r="BW34" i="30"/>
  <c r="BV34" i="30"/>
  <c r="BU34" i="30"/>
  <c r="BT34" i="30"/>
  <c r="BS34" i="30"/>
  <c r="BR34" i="30"/>
  <c r="BP34" i="30"/>
  <c r="BO34" i="30"/>
  <c r="BN34" i="30"/>
  <c r="BM34" i="30"/>
  <c r="BL34" i="30"/>
  <c r="BK34" i="30"/>
  <c r="BJ34" i="30"/>
  <c r="BI34" i="30"/>
  <c r="BH34" i="30"/>
  <c r="BG34" i="30"/>
  <c r="BE34" i="30"/>
  <c r="BD34" i="30"/>
  <c r="BC34" i="30"/>
  <c r="BB34" i="30"/>
  <c r="BA34" i="30"/>
  <c r="AZ34" i="30"/>
  <c r="AY34" i="30"/>
  <c r="AX34" i="30"/>
  <c r="AW34" i="30"/>
  <c r="AV34" i="30"/>
  <c r="AT34" i="30"/>
  <c r="AS34" i="30"/>
  <c r="AR34" i="30"/>
  <c r="AQ34" i="30"/>
  <c r="AP34" i="30"/>
  <c r="AO34" i="30"/>
  <c r="AN34" i="30"/>
  <c r="AM34" i="30"/>
  <c r="AL34" i="30"/>
  <c r="AK34" i="30"/>
  <c r="AI34" i="30"/>
  <c r="AH34" i="30"/>
  <c r="AG34" i="30"/>
  <c r="AF34" i="30"/>
  <c r="AE34" i="30"/>
  <c r="AD34" i="30"/>
  <c r="AC34" i="30"/>
  <c r="AB34" i="30"/>
  <c r="AA34" i="30"/>
  <c r="Z34" i="30"/>
  <c r="X34" i="30"/>
  <c r="W34" i="30"/>
  <c r="V34" i="30"/>
  <c r="U34" i="30"/>
  <c r="T34" i="30"/>
  <c r="S34" i="30"/>
  <c r="R34" i="30"/>
  <c r="Q34" i="30"/>
  <c r="P34" i="30"/>
  <c r="O34" i="30"/>
  <c r="M34" i="30"/>
  <c r="K48" i="30" s="1"/>
  <c r="L34" i="30"/>
  <c r="K47" i="30" s="1"/>
  <c r="K34" i="30"/>
  <c r="K46" i="30" s="1"/>
  <c r="J34" i="30"/>
  <c r="K45" i="30" s="1"/>
  <c r="I34" i="30"/>
  <c r="K44" i="30" s="1"/>
  <c r="H34" i="30"/>
  <c r="K43" i="30" s="1"/>
  <c r="G34" i="30"/>
  <c r="K42" i="30" s="1"/>
  <c r="F34" i="30"/>
  <c r="E34" i="30"/>
  <c r="K40" i="30" s="1"/>
  <c r="D34" i="30"/>
  <c r="CA33" i="30"/>
  <c r="BZ33" i="30"/>
  <c r="BY33" i="30"/>
  <c r="BX33" i="30"/>
  <c r="BW33" i="30"/>
  <c r="BV33" i="30"/>
  <c r="BU33" i="30"/>
  <c r="BP33" i="30"/>
  <c r="BO33" i="30"/>
  <c r="BN33" i="30"/>
  <c r="BM33" i="30"/>
  <c r="BL33" i="30"/>
  <c r="BK33" i="30"/>
  <c r="BJ33" i="30"/>
  <c r="BH33" i="30"/>
  <c r="BE33" i="30"/>
  <c r="BD33" i="30"/>
  <c r="BC33" i="30"/>
  <c r="BB33" i="30"/>
  <c r="BA33" i="30"/>
  <c r="AZ33" i="30"/>
  <c r="AY33" i="30"/>
  <c r="AW33" i="30"/>
  <c r="AT33" i="30"/>
  <c r="AS33" i="30"/>
  <c r="AR33" i="30"/>
  <c r="AQ33" i="30"/>
  <c r="AP33" i="30"/>
  <c r="AO33" i="30"/>
  <c r="AN33" i="30"/>
  <c r="AI33" i="30"/>
  <c r="AH33" i="30"/>
  <c r="AG33" i="30"/>
  <c r="AF33" i="30"/>
  <c r="AE33" i="30"/>
  <c r="AD33" i="30"/>
  <c r="AC33" i="30"/>
  <c r="AA33" i="30"/>
  <c r="X33" i="30"/>
  <c r="W33" i="30"/>
  <c r="V33" i="30"/>
  <c r="U33" i="30"/>
  <c r="T33" i="30"/>
  <c r="S33" i="30"/>
  <c r="R33" i="30"/>
  <c r="M33" i="30"/>
  <c r="L33" i="30"/>
  <c r="K33" i="30"/>
  <c r="J33" i="30"/>
  <c r="I33" i="30"/>
  <c r="H33" i="30"/>
  <c r="G33" i="30"/>
  <c r="F33" i="30"/>
  <c r="E33" i="30"/>
  <c r="D33" i="30"/>
  <c r="BR32" i="30"/>
  <c r="BG32" i="30"/>
  <c r="AV32" i="30"/>
  <c r="AK32" i="30"/>
  <c r="Z32" i="30"/>
  <c r="O32" i="30"/>
  <c r="D32" i="30"/>
  <c r="BS33" i="30"/>
  <c r="AL33" i="30"/>
  <c r="Q6" i="30"/>
  <c r="P33" i="30"/>
  <c r="O6" i="30"/>
  <c r="BR5" i="30"/>
  <c r="BG5" i="30"/>
  <c r="AV5" i="30"/>
  <c r="AK5" i="30"/>
  <c r="Z5" i="30"/>
  <c r="O5" i="30"/>
  <c r="D5" i="30"/>
  <c r="D2" i="30"/>
  <c r="M35" i="28"/>
  <c r="L35" i="28"/>
  <c r="K35" i="28"/>
  <c r="J35" i="28"/>
  <c r="I35" i="28"/>
  <c r="H35" i="28"/>
  <c r="G35" i="28"/>
  <c r="F35" i="28"/>
  <c r="E35" i="28"/>
  <c r="D35" i="28"/>
  <c r="CA34" i="28"/>
  <c r="BZ34" i="28"/>
  <c r="BY34" i="28"/>
  <c r="BX34" i="28"/>
  <c r="BW34" i="28"/>
  <c r="BV34" i="28"/>
  <c r="BU34" i="28"/>
  <c r="BT34" i="28"/>
  <c r="BS34" i="28"/>
  <c r="BR34" i="28"/>
  <c r="BP34" i="28"/>
  <c r="BO34" i="28"/>
  <c r="BN34" i="28"/>
  <c r="BM34" i="28"/>
  <c r="BL34" i="28"/>
  <c r="BK34" i="28"/>
  <c r="BJ34" i="28"/>
  <c r="BI34" i="28"/>
  <c r="BH34" i="28"/>
  <c r="BG34" i="28"/>
  <c r="BE34" i="28"/>
  <c r="BD34" i="28"/>
  <c r="BC34" i="28"/>
  <c r="BB34" i="28"/>
  <c r="BA34" i="28"/>
  <c r="AZ34" i="28"/>
  <c r="AY34" i="28"/>
  <c r="AX34" i="28"/>
  <c r="AW34" i="28"/>
  <c r="AV34" i="28"/>
  <c r="AT34" i="28"/>
  <c r="AS34" i="28"/>
  <c r="AR34" i="28"/>
  <c r="AQ34" i="28"/>
  <c r="AP34" i="28"/>
  <c r="AO34" i="28"/>
  <c r="AN34" i="28"/>
  <c r="AM34" i="28"/>
  <c r="AL34" i="28"/>
  <c r="AK34" i="28"/>
  <c r="AI34" i="28"/>
  <c r="AH34" i="28"/>
  <c r="AG34" i="28"/>
  <c r="AF34" i="28"/>
  <c r="AE34" i="28"/>
  <c r="AD34" i="28"/>
  <c r="AC34" i="28"/>
  <c r="AB34" i="28"/>
  <c r="AA34" i="28"/>
  <c r="Z34" i="28"/>
  <c r="X34" i="28"/>
  <c r="W34" i="28"/>
  <c r="V34" i="28"/>
  <c r="U34" i="28"/>
  <c r="T34" i="28"/>
  <c r="S34" i="28"/>
  <c r="R34" i="28"/>
  <c r="Q34" i="28"/>
  <c r="P34" i="28"/>
  <c r="O34" i="28"/>
  <c r="M34" i="28"/>
  <c r="K48" i="28" s="1"/>
  <c r="L34" i="28"/>
  <c r="K47" i="28" s="1"/>
  <c r="K34" i="28"/>
  <c r="K46" i="28" s="1"/>
  <c r="J34" i="28"/>
  <c r="K45" i="28" s="1"/>
  <c r="I34" i="28"/>
  <c r="K44" i="28" s="1"/>
  <c r="H34" i="28"/>
  <c r="K43" i="28" s="1"/>
  <c r="G34" i="28"/>
  <c r="K42" i="28" s="1"/>
  <c r="F34" i="28"/>
  <c r="E34" i="28"/>
  <c r="D34" i="28"/>
  <c r="CA33" i="28"/>
  <c r="BZ33" i="28"/>
  <c r="BY33" i="28"/>
  <c r="BX33" i="28"/>
  <c r="BW33" i="28"/>
  <c r="BV33" i="28"/>
  <c r="BU33" i="28"/>
  <c r="BP33" i="28"/>
  <c r="BO33" i="28"/>
  <c r="BN33" i="28"/>
  <c r="BM33" i="28"/>
  <c r="BL33" i="28"/>
  <c r="BK33" i="28"/>
  <c r="BJ33" i="28"/>
  <c r="BH33" i="28"/>
  <c r="BE33" i="28"/>
  <c r="BD33" i="28"/>
  <c r="BC33" i="28"/>
  <c r="BB33" i="28"/>
  <c r="BA33" i="28"/>
  <c r="AZ33" i="28"/>
  <c r="AY33" i="28"/>
  <c r="AW33" i="28"/>
  <c r="AT33" i="28"/>
  <c r="AS33" i="28"/>
  <c r="AR33" i="28"/>
  <c r="AQ33" i="28"/>
  <c r="AP33" i="28"/>
  <c r="AO33" i="28"/>
  <c r="AN33" i="28"/>
  <c r="AI33" i="28"/>
  <c r="AH33" i="28"/>
  <c r="AG33" i="28"/>
  <c r="AF33" i="28"/>
  <c r="AE33" i="28"/>
  <c r="AD33" i="28"/>
  <c r="AC33" i="28"/>
  <c r="AA33" i="28"/>
  <c r="X33" i="28"/>
  <c r="W33" i="28"/>
  <c r="V33" i="28"/>
  <c r="U33" i="28"/>
  <c r="T33" i="28"/>
  <c r="S33" i="28"/>
  <c r="R33" i="28"/>
  <c r="M33" i="28"/>
  <c r="L33" i="28"/>
  <c r="K33" i="28"/>
  <c r="J33" i="28"/>
  <c r="I33" i="28"/>
  <c r="H33" i="28"/>
  <c r="G33" i="28"/>
  <c r="F33" i="28"/>
  <c r="E33" i="28"/>
  <c r="D33" i="28"/>
  <c r="BR32" i="28"/>
  <c r="BG32" i="28"/>
  <c r="AV32" i="28"/>
  <c r="AK32" i="28"/>
  <c r="Z32" i="28"/>
  <c r="O32" i="28"/>
  <c r="D32" i="28"/>
  <c r="BS33" i="28"/>
  <c r="AL33" i="28"/>
  <c r="Q6" i="28"/>
  <c r="P33" i="28"/>
  <c r="O6" i="28"/>
  <c r="BR5" i="28"/>
  <c r="BG5" i="28"/>
  <c r="AV5" i="28"/>
  <c r="AK5" i="28"/>
  <c r="Z5" i="28"/>
  <c r="O5" i="28"/>
  <c r="D5" i="28"/>
  <c r="D2" i="28"/>
  <c r="M35" i="27"/>
  <c r="L35" i="27"/>
  <c r="K35" i="27"/>
  <c r="J35" i="27"/>
  <c r="I35" i="27"/>
  <c r="H35" i="27"/>
  <c r="G35" i="27"/>
  <c r="F35" i="27"/>
  <c r="E35" i="27"/>
  <c r="D35" i="27"/>
  <c r="CA34" i="27"/>
  <c r="BZ34" i="27"/>
  <c r="BY34" i="27"/>
  <c r="BX34" i="27"/>
  <c r="BW34" i="27"/>
  <c r="BV34" i="27"/>
  <c r="BU34" i="27"/>
  <c r="BT34" i="27"/>
  <c r="BS34" i="27"/>
  <c r="BR34" i="27"/>
  <c r="BP34" i="27"/>
  <c r="BO34" i="27"/>
  <c r="BN34" i="27"/>
  <c r="BM34" i="27"/>
  <c r="BL34" i="27"/>
  <c r="BK34" i="27"/>
  <c r="BJ34" i="27"/>
  <c r="BI34" i="27"/>
  <c r="BH34" i="27"/>
  <c r="BG34" i="27"/>
  <c r="BE34" i="27"/>
  <c r="BD34" i="27"/>
  <c r="BC34" i="27"/>
  <c r="BB34" i="27"/>
  <c r="BA34" i="27"/>
  <c r="AZ34" i="27"/>
  <c r="AY34" i="27"/>
  <c r="AX34" i="27"/>
  <c r="AW34" i="27"/>
  <c r="AV34" i="27"/>
  <c r="AT34" i="27"/>
  <c r="AS34" i="27"/>
  <c r="AR34" i="27"/>
  <c r="AQ34" i="27"/>
  <c r="AP34" i="27"/>
  <c r="AO34" i="27"/>
  <c r="AN34" i="27"/>
  <c r="AM34" i="27"/>
  <c r="AL34" i="27"/>
  <c r="AK34" i="27"/>
  <c r="AI34" i="27"/>
  <c r="AH34" i="27"/>
  <c r="AG34" i="27"/>
  <c r="AF34" i="27"/>
  <c r="AE34" i="27"/>
  <c r="AD34" i="27"/>
  <c r="AC34" i="27"/>
  <c r="AB34" i="27"/>
  <c r="AA34" i="27"/>
  <c r="Z34" i="27"/>
  <c r="X34" i="27"/>
  <c r="W34" i="27"/>
  <c r="V34" i="27"/>
  <c r="U34" i="27"/>
  <c r="T34" i="27"/>
  <c r="S34" i="27"/>
  <c r="R34" i="27"/>
  <c r="Q34" i="27"/>
  <c r="P34" i="27"/>
  <c r="O34" i="27"/>
  <c r="M34" i="27"/>
  <c r="K48" i="27" s="1"/>
  <c r="L34" i="27"/>
  <c r="K34" i="27"/>
  <c r="K46" i="27" s="1"/>
  <c r="J34" i="27"/>
  <c r="K45" i="27" s="1"/>
  <c r="I34" i="27"/>
  <c r="K44" i="27" s="1"/>
  <c r="H34" i="27"/>
  <c r="K43" i="27" s="1"/>
  <c r="G34" i="27"/>
  <c r="K42" i="27" s="1"/>
  <c r="F34" i="27"/>
  <c r="E34" i="27"/>
  <c r="D34" i="27"/>
  <c r="CA33" i="27"/>
  <c r="BZ33" i="27"/>
  <c r="BY33" i="27"/>
  <c r="BX33" i="27"/>
  <c r="BW33" i="27"/>
  <c r="BV33" i="27"/>
  <c r="BU33" i="27"/>
  <c r="BP33" i="27"/>
  <c r="BO33" i="27"/>
  <c r="BN33" i="27"/>
  <c r="BM33" i="27"/>
  <c r="BL33" i="27"/>
  <c r="BK33" i="27"/>
  <c r="BJ33" i="27"/>
  <c r="BH33" i="27"/>
  <c r="BE33" i="27"/>
  <c r="BD33" i="27"/>
  <c r="BC33" i="27"/>
  <c r="BB33" i="27"/>
  <c r="BA33" i="27"/>
  <c r="AZ33" i="27"/>
  <c r="AY33" i="27"/>
  <c r="AW33" i="27"/>
  <c r="AT33" i="27"/>
  <c r="AS33" i="27"/>
  <c r="AR33" i="27"/>
  <c r="AQ33" i="27"/>
  <c r="AP33" i="27"/>
  <c r="AO33" i="27"/>
  <c r="AN33" i="27"/>
  <c r="AI33" i="27"/>
  <c r="AH33" i="27"/>
  <c r="AG33" i="27"/>
  <c r="AF33" i="27"/>
  <c r="AE33" i="27"/>
  <c r="AD33" i="27"/>
  <c r="AC33" i="27"/>
  <c r="AA33" i="27"/>
  <c r="X33" i="27"/>
  <c r="W33" i="27"/>
  <c r="V33" i="27"/>
  <c r="U33" i="27"/>
  <c r="T33" i="27"/>
  <c r="S33" i="27"/>
  <c r="R33" i="27"/>
  <c r="M33" i="27"/>
  <c r="L33" i="27"/>
  <c r="K33" i="27"/>
  <c r="J33" i="27"/>
  <c r="I33" i="27"/>
  <c r="H33" i="27"/>
  <c r="G33" i="27"/>
  <c r="F33" i="27"/>
  <c r="E33" i="27"/>
  <c r="D33" i="27"/>
  <c r="BR32" i="27"/>
  <c r="BG32" i="27"/>
  <c r="AV32" i="27"/>
  <c r="AK32" i="27"/>
  <c r="Z32" i="27"/>
  <c r="O32" i="27"/>
  <c r="D32" i="27"/>
  <c r="BS6" i="27"/>
  <c r="BS33" i="27" s="1"/>
  <c r="AL6" i="27"/>
  <c r="AL33" i="27" s="1"/>
  <c r="Q6" i="27"/>
  <c r="P6" i="27"/>
  <c r="P33" i="27" s="1"/>
  <c r="O6" i="27"/>
  <c r="BR5" i="27"/>
  <c r="BG5" i="27"/>
  <c r="AV5" i="27"/>
  <c r="AK5" i="27"/>
  <c r="Z5" i="27"/>
  <c r="O5" i="27"/>
  <c r="D5" i="27"/>
  <c r="D2" i="27"/>
  <c r="M35" i="26"/>
  <c r="L35" i="26"/>
  <c r="K35" i="26"/>
  <c r="J35" i="26"/>
  <c r="I35" i="26"/>
  <c r="H35" i="26"/>
  <c r="G35" i="26"/>
  <c r="F35" i="26"/>
  <c r="E35" i="26"/>
  <c r="D35" i="26"/>
  <c r="CA34" i="26"/>
  <c r="BZ34" i="26"/>
  <c r="BY34" i="26"/>
  <c r="BX34" i="26"/>
  <c r="BW34" i="26"/>
  <c r="BV34" i="26"/>
  <c r="BU34" i="26"/>
  <c r="BT34" i="26"/>
  <c r="BS34" i="26"/>
  <c r="BR34" i="26"/>
  <c r="BP34" i="26"/>
  <c r="BO34" i="26"/>
  <c r="BN34" i="26"/>
  <c r="BM34" i="26"/>
  <c r="BL34" i="26"/>
  <c r="BK34" i="26"/>
  <c r="BJ34" i="26"/>
  <c r="BI34" i="26"/>
  <c r="BH34" i="26"/>
  <c r="BG34" i="26"/>
  <c r="BE34" i="26"/>
  <c r="BD34" i="26"/>
  <c r="BC34" i="26"/>
  <c r="BB34" i="26"/>
  <c r="BA34" i="26"/>
  <c r="AZ34" i="26"/>
  <c r="AY34" i="26"/>
  <c r="AX34" i="26"/>
  <c r="AW34" i="26"/>
  <c r="AV34" i="26"/>
  <c r="AT34" i="26"/>
  <c r="AS34" i="26"/>
  <c r="AR34" i="26"/>
  <c r="AQ34" i="26"/>
  <c r="AP34" i="26"/>
  <c r="AO34" i="26"/>
  <c r="AN34" i="26"/>
  <c r="AM34" i="26"/>
  <c r="AL34" i="26"/>
  <c r="AK34" i="26"/>
  <c r="AI34" i="26"/>
  <c r="AH34" i="26"/>
  <c r="AG34" i="26"/>
  <c r="AF34" i="26"/>
  <c r="AE34" i="26"/>
  <c r="AD34" i="26"/>
  <c r="AC34" i="26"/>
  <c r="AB34" i="26"/>
  <c r="AA34" i="26"/>
  <c r="Z34" i="26"/>
  <c r="X34" i="26"/>
  <c r="W34" i="26"/>
  <c r="V34" i="26"/>
  <c r="U34" i="26"/>
  <c r="T34" i="26"/>
  <c r="S34" i="26"/>
  <c r="R34" i="26"/>
  <c r="Q34" i="26"/>
  <c r="P34" i="26"/>
  <c r="O34" i="26"/>
  <c r="M34" i="26"/>
  <c r="K48" i="26" s="1"/>
  <c r="L34" i="26"/>
  <c r="K34" i="26"/>
  <c r="K46" i="26" s="1"/>
  <c r="J34" i="26"/>
  <c r="K45" i="26" s="1"/>
  <c r="I34" i="26"/>
  <c r="K44" i="26" s="1"/>
  <c r="H34" i="26"/>
  <c r="K43" i="26" s="1"/>
  <c r="G34" i="26"/>
  <c r="F34" i="26"/>
  <c r="E34" i="26"/>
  <c r="D34" i="26"/>
  <c r="CA33" i="26"/>
  <c r="BZ33" i="26"/>
  <c r="BY33" i="26"/>
  <c r="BX33" i="26"/>
  <c r="BW33" i="26"/>
  <c r="BV33" i="26"/>
  <c r="BU33" i="26"/>
  <c r="BP33" i="26"/>
  <c r="BO33" i="26"/>
  <c r="BN33" i="26"/>
  <c r="BM33" i="26"/>
  <c r="BL33" i="26"/>
  <c r="BK33" i="26"/>
  <c r="BJ33" i="26"/>
  <c r="BH33" i="26"/>
  <c r="BE33" i="26"/>
  <c r="BD33" i="26"/>
  <c r="BC33" i="26"/>
  <c r="BB33" i="26"/>
  <c r="BA33" i="26"/>
  <c r="AZ33" i="26"/>
  <c r="AY33" i="26"/>
  <c r="AW33" i="26"/>
  <c r="AT33" i="26"/>
  <c r="AS33" i="26"/>
  <c r="AR33" i="26"/>
  <c r="AQ33" i="26"/>
  <c r="AP33" i="26"/>
  <c r="AO33" i="26"/>
  <c r="AN33" i="26"/>
  <c r="AI33" i="26"/>
  <c r="AH33" i="26"/>
  <c r="AG33" i="26"/>
  <c r="AF33" i="26"/>
  <c r="AE33" i="26"/>
  <c r="AD33" i="26"/>
  <c r="AC33" i="26"/>
  <c r="AA33" i="26"/>
  <c r="X33" i="26"/>
  <c r="W33" i="26"/>
  <c r="V33" i="26"/>
  <c r="U33" i="26"/>
  <c r="T33" i="26"/>
  <c r="S33" i="26"/>
  <c r="R33" i="26"/>
  <c r="M33" i="26"/>
  <c r="L33" i="26"/>
  <c r="K33" i="26"/>
  <c r="J33" i="26"/>
  <c r="I33" i="26"/>
  <c r="H33" i="26"/>
  <c r="G33" i="26"/>
  <c r="F33" i="26"/>
  <c r="E33" i="26"/>
  <c r="D33" i="26"/>
  <c r="BR32" i="26"/>
  <c r="BG32" i="26"/>
  <c r="AV32" i="26"/>
  <c r="AK32" i="26"/>
  <c r="Z32" i="26"/>
  <c r="O32" i="26"/>
  <c r="D32" i="26"/>
  <c r="BS6" i="26"/>
  <c r="BS33" i="26" s="1"/>
  <c r="AL6" i="26"/>
  <c r="AL33" i="26" s="1"/>
  <c r="Q6" i="26"/>
  <c r="P6" i="26"/>
  <c r="P33" i="26" s="1"/>
  <c r="O6" i="26"/>
  <c r="BR5" i="26"/>
  <c r="BG5" i="26"/>
  <c r="AV5" i="26"/>
  <c r="AK5" i="26"/>
  <c r="Z5" i="26"/>
  <c r="O5" i="26"/>
  <c r="D5" i="26"/>
  <c r="D2" i="26"/>
  <c r="M35" i="25"/>
  <c r="L35" i="25"/>
  <c r="K35" i="25"/>
  <c r="J35" i="25"/>
  <c r="I35" i="25"/>
  <c r="H35" i="25"/>
  <c r="G35" i="25"/>
  <c r="F35" i="25"/>
  <c r="E35" i="25"/>
  <c r="D35" i="25"/>
  <c r="CA34" i="25"/>
  <c r="BZ34" i="25"/>
  <c r="BY34" i="25"/>
  <c r="BX34" i="25"/>
  <c r="BW34" i="25"/>
  <c r="BV34" i="25"/>
  <c r="BU34" i="25"/>
  <c r="BT34" i="25"/>
  <c r="BS34" i="25"/>
  <c r="BR34" i="25"/>
  <c r="BP34" i="25"/>
  <c r="BO34" i="25"/>
  <c r="BN34" i="25"/>
  <c r="BM34" i="25"/>
  <c r="BL34" i="25"/>
  <c r="BK34" i="25"/>
  <c r="BJ34" i="25"/>
  <c r="BI34" i="25"/>
  <c r="BH34" i="25"/>
  <c r="BG34" i="25"/>
  <c r="BE34" i="25"/>
  <c r="BD34" i="25"/>
  <c r="BC34" i="25"/>
  <c r="BB34" i="25"/>
  <c r="BA34" i="25"/>
  <c r="AZ34" i="25"/>
  <c r="AY34" i="25"/>
  <c r="AX34" i="25"/>
  <c r="AW34" i="25"/>
  <c r="AV34" i="25"/>
  <c r="AT34" i="25"/>
  <c r="AS34" i="25"/>
  <c r="AR34" i="25"/>
  <c r="AQ34" i="25"/>
  <c r="AP34" i="25"/>
  <c r="AO34" i="25"/>
  <c r="AN34" i="25"/>
  <c r="AM34" i="25"/>
  <c r="AL34" i="25"/>
  <c r="AK34" i="25"/>
  <c r="AI34" i="25"/>
  <c r="AH34" i="25"/>
  <c r="AG34" i="25"/>
  <c r="AF34" i="25"/>
  <c r="AE34" i="25"/>
  <c r="AD34" i="25"/>
  <c r="AC34" i="25"/>
  <c r="AB34" i="25"/>
  <c r="AA34" i="25"/>
  <c r="Z34" i="25"/>
  <c r="X34" i="25"/>
  <c r="W34" i="25"/>
  <c r="V34" i="25"/>
  <c r="U34" i="25"/>
  <c r="T34" i="25"/>
  <c r="S34" i="25"/>
  <c r="R34" i="25"/>
  <c r="Q34" i="25"/>
  <c r="P34" i="25"/>
  <c r="O34" i="25"/>
  <c r="M34" i="25"/>
  <c r="K48" i="25" s="1"/>
  <c r="L34" i="25"/>
  <c r="K47" i="25" s="1"/>
  <c r="K34" i="25"/>
  <c r="K46" i="25" s="1"/>
  <c r="J34" i="25"/>
  <c r="K45" i="25" s="1"/>
  <c r="I34" i="25"/>
  <c r="K44" i="25" s="1"/>
  <c r="H34" i="25"/>
  <c r="G34" i="25"/>
  <c r="F34" i="25"/>
  <c r="E34" i="25"/>
  <c r="D34" i="25"/>
  <c r="CA33" i="25"/>
  <c r="BZ33" i="25"/>
  <c r="BY33" i="25"/>
  <c r="BX33" i="25"/>
  <c r="BW33" i="25"/>
  <c r="BU33" i="25"/>
  <c r="BP33" i="25"/>
  <c r="BO33" i="25"/>
  <c r="BN33" i="25"/>
  <c r="BM33" i="25"/>
  <c r="BL33" i="25"/>
  <c r="BK33" i="25"/>
  <c r="BJ33" i="25"/>
  <c r="BH33" i="25"/>
  <c r="BE33" i="25"/>
  <c r="BD33" i="25"/>
  <c r="BC33" i="25"/>
  <c r="BB33" i="25"/>
  <c r="BA33" i="25"/>
  <c r="AW33" i="25"/>
  <c r="AT33" i="25"/>
  <c r="AS33" i="25"/>
  <c r="AR33" i="25"/>
  <c r="AQ33" i="25"/>
  <c r="AP33" i="25"/>
  <c r="AI33" i="25"/>
  <c r="AH33" i="25"/>
  <c r="AG33" i="25"/>
  <c r="AF33" i="25"/>
  <c r="AE33" i="25"/>
  <c r="AA33" i="25"/>
  <c r="X33" i="25"/>
  <c r="W33" i="25"/>
  <c r="V33" i="25"/>
  <c r="U33" i="25"/>
  <c r="T33" i="25"/>
  <c r="M33" i="25"/>
  <c r="L33" i="25"/>
  <c r="K33" i="25"/>
  <c r="J33" i="25"/>
  <c r="I33" i="25"/>
  <c r="H33" i="25"/>
  <c r="G33" i="25"/>
  <c r="F33" i="25"/>
  <c r="E33" i="25"/>
  <c r="D33" i="25"/>
  <c r="BR32" i="25"/>
  <c r="BG32" i="25"/>
  <c r="AV32" i="25"/>
  <c r="AK32" i="25"/>
  <c r="Z32" i="25"/>
  <c r="O32" i="25"/>
  <c r="D32" i="25"/>
  <c r="BV33" i="25"/>
  <c r="BS6" i="25"/>
  <c r="BS33" i="25" s="1"/>
  <c r="AZ33" i="25"/>
  <c r="AO33" i="25"/>
  <c r="AL6" i="25"/>
  <c r="AL33" i="25" s="1"/>
  <c r="AD33" i="25"/>
  <c r="S33" i="25"/>
  <c r="R33" i="25"/>
  <c r="Q6" i="25"/>
  <c r="AB6" i="25" s="1"/>
  <c r="P6" i="25"/>
  <c r="P33" i="25" s="1"/>
  <c r="O6" i="25"/>
  <c r="Z6" i="25" s="1"/>
  <c r="BR5" i="25"/>
  <c r="BG5" i="25"/>
  <c r="AV5" i="25"/>
  <c r="AK5" i="25"/>
  <c r="Z5" i="25"/>
  <c r="O5" i="25"/>
  <c r="D5" i="25"/>
  <c r="D2" i="25"/>
  <c r="BV6" i="23"/>
  <c r="BV33" i="23" s="1"/>
  <c r="M35" i="23"/>
  <c r="L35" i="23"/>
  <c r="K35" i="23"/>
  <c r="J35" i="23"/>
  <c r="I35" i="23"/>
  <c r="H35" i="23"/>
  <c r="G35" i="23"/>
  <c r="F35" i="23"/>
  <c r="E35" i="23"/>
  <c r="D35" i="23"/>
  <c r="CA34" i="23"/>
  <c r="BZ34" i="23"/>
  <c r="BY34" i="23"/>
  <c r="BX34" i="23"/>
  <c r="BW34" i="23"/>
  <c r="BV34" i="23"/>
  <c r="BU34" i="23"/>
  <c r="BT34" i="23"/>
  <c r="BS34" i="23"/>
  <c r="BR34" i="23"/>
  <c r="BP34" i="23"/>
  <c r="BO34" i="23"/>
  <c r="BN34" i="23"/>
  <c r="BM34" i="23"/>
  <c r="BL34" i="23"/>
  <c r="BK34" i="23"/>
  <c r="BJ34" i="23"/>
  <c r="BI34" i="23"/>
  <c r="BH34" i="23"/>
  <c r="BG34" i="23"/>
  <c r="BE34" i="23"/>
  <c r="BD34" i="23"/>
  <c r="BC34" i="23"/>
  <c r="BB34" i="23"/>
  <c r="BA34" i="23"/>
  <c r="AZ34" i="23"/>
  <c r="AY34" i="23"/>
  <c r="AX34" i="23"/>
  <c r="AW34" i="23"/>
  <c r="AV34" i="23"/>
  <c r="AT34" i="23"/>
  <c r="AS34" i="23"/>
  <c r="AR34" i="23"/>
  <c r="AQ34" i="23"/>
  <c r="AP34" i="23"/>
  <c r="AO34" i="23"/>
  <c r="AN34" i="23"/>
  <c r="AM34" i="23"/>
  <c r="AL34" i="23"/>
  <c r="AK34" i="23"/>
  <c r="AI34" i="23"/>
  <c r="AH34" i="23"/>
  <c r="AG34" i="23"/>
  <c r="AF34" i="23"/>
  <c r="AE34" i="23"/>
  <c r="AD34" i="23"/>
  <c r="AC34" i="23"/>
  <c r="AB34" i="23"/>
  <c r="AA34" i="23"/>
  <c r="Z34" i="23"/>
  <c r="X34" i="23"/>
  <c r="W34" i="23"/>
  <c r="V34" i="23"/>
  <c r="U34" i="23"/>
  <c r="T34" i="23"/>
  <c r="S34" i="23"/>
  <c r="R34" i="23"/>
  <c r="Q34" i="23"/>
  <c r="P34" i="23"/>
  <c r="O34" i="23"/>
  <c r="M34" i="23"/>
  <c r="K48" i="23" s="1"/>
  <c r="L34" i="23"/>
  <c r="K47" i="23" s="1"/>
  <c r="K34" i="23"/>
  <c r="J34" i="23"/>
  <c r="K45" i="23" s="1"/>
  <c r="I34" i="23"/>
  <c r="K44" i="23" s="1"/>
  <c r="H34" i="23"/>
  <c r="G34" i="23"/>
  <c r="F34" i="23"/>
  <c r="E34" i="23"/>
  <c r="D34" i="23"/>
  <c r="CA33" i="23"/>
  <c r="BZ33" i="23"/>
  <c r="BY33" i="23"/>
  <c r="BX33" i="23"/>
  <c r="BW33" i="23"/>
  <c r="BS33" i="23"/>
  <c r="BP33" i="23"/>
  <c r="BO33" i="23"/>
  <c r="BN33" i="23"/>
  <c r="BM33" i="23"/>
  <c r="BL33" i="23"/>
  <c r="BH33" i="23"/>
  <c r="BE33" i="23"/>
  <c r="BD33" i="23"/>
  <c r="BC33" i="23"/>
  <c r="BB33" i="23"/>
  <c r="BA33" i="23"/>
  <c r="AZ33" i="23"/>
  <c r="AW33" i="23"/>
  <c r="AT33" i="23"/>
  <c r="AS33" i="23"/>
  <c r="AR33" i="23"/>
  <c r="AQ33" i="23"/>
  <c r="AP33" i="23"/>
  <c r="AO33" i="23"/>
  <c r="AL33" i="23"/>
  <c r="AI33" i="23"/>
  <c r="AH33" i="23"/>
  <c r="AG33" i="23"/>
  <c r="AF33" i="23"/>
  <c r="AE33" i="23"/>
  <c r="AD33" i="23"/>
  <c r="AA33" i="23"/>
  <c r="X33" i="23"/>
  <c r="W33" i="23"/>
  <c r="V33" i="23"/>
  <c r="U33" i="23"/>
  <c r="T33" i="23"/>
  <c r="S33" i="23"/>
  <c r="R33" i="23"/>
  <c r="Q33" i="23"/>
  <c r="P33" i="23"/>
  <c r="O33" i="23"/>
  <c r="M33" i="23"/>
  <c r="L33" i="23"/>
  <c r="K33" i="23"/>
  <c r="J33" i="23"/>
  <c r="I33" i="23"/>
  <c r="H33" i="23"/>
  <c r="G33" i="23"/>
  <c r="F33" i="23"/>
  <c r="E33" i="23"/>
  <c r="D33" i="23"/>
  <c r="BR32" i="23"/>
  <c r="BG32" i="23"/>
  <c r="AV32" i="23"/>
  <c r="AK32" i="23"/>
  <c r="Z32" i="23"/>
  <c r="O32" i="23"/>
  <c r="D32" i="23"/>
  <c r="BS6" i="23"/>
  <c r="AZ6" i="23"/>
  <c r="AO6" i="23"/>
  <c r="AL6" i="23"/>
  <c r="AD6" i="23"/>
  <c r="S6" i="23"/>
  <c r="BK33" i="23" s="1"/>
  <c r="R6" i="23"/>
  <c r="AC6" i="23" s="1"/>
  <c r="Q6" i="23"/>
  <c r="P6" i="23"/>
  <c r="O6" i="23"/>
  <c r="Z6" i="23" s="1"/>
  <c r="BR5" i="23"/>
  <c r="BG5" i="23"/>
  <c r="AV5" i="23"/>
  <c r="AK5" i="23"/>
  <c r="Z5" i="23"/>
  <c r="O5" i="23"/>
  <c r="D5" i="23"/>
  <c r="D2" i="23"/>
  <c r="M35" i="22"/>
  <c r="L35" i="22"/>
  <c r="K35" i="22"/>
  <c r="J35" i="22"/>
  <c r="I35" i="22"/>
  <c r="H35" i="22"/>
  <c r="G35" i="22"/>
  <c r="F35" i="22"/>
  <c r="E35" i="22"/>
  <c r="D35" i="22"/>
  <c r="CA34" i="22"/>
  <c r="BZ34" i="22"/>
  <c r="BY34" i="22"/>
  <c r="BX34" i="22"/>
  <c r="BW34" i="22"/>
  <c r="BV34" i="22"/>
  <c r="BU34" i="22"/>
  <c r="BT34" i="22"/>
  <c r="BS34" i="22"/>
  <c r="BR34" i="22"/>
  <c r="BP34" i="22"/>
  <c r="BO34" i="22"/>
  <c r="BN34" i="22"/>
  <c r="BM34" i="22"/>
  <c r="BL34" i="22"/>
  <c r="BK34" i="22"/>
  <c r="BJ34" i="22"/>
  <c r="BI34" i="22"/>
  <c r="BH34" i="22"/>
  <c r="BG34" i="22"/>
  <c r="BE34" i="22"/>
  <c r="BD34" i="22"/>
  <c r="BC34" i="22"/>
  <c r="BB34" i="22"/>
  <c r="BA34" i="22"/>
  <c r="AZ34" i="22"/>
  <c r="AY34" i="22"/>
  <c r="AX34" i="22"/>
  <c r="AW34" i="22"/>
  <c r="AV34" i="22"/>
  <c r="AT34" i="22"/>
  <c r="AS34" i="22"/>
  <c r="AR34" i="22"/>
  <c r="AQ34" i="22"/>
  <c r="AP34" i="22"/>
  <c r="AO34" i="22"/>
  <c r="AN34" i="22"/>
  <c r="AM34" i="22"/>
  <c r="AL34" i="22"/>
  <c r="AK34" i="22"/>
  <c r="AI34" i="22"/>
  <c r="AH34" i="22"/>
  <c r="AG34" i="22"/>
  <c r="AF34" i="22"/>
  <c r="AE34" i="22"/>
  <c r="AD34" i="22"/>
  <c r="AC34" i="22"/>
  <c r="AB34" i="22"/>
  <c r="AA34" i="22"/>
  <c r="Z34" i="22"/>
  <c r="X34" i="22"/>
  <c r="W34" i="22"/>
  <c r="V34" i="22"/>
  <c r="U34" i="22"/>
  <c r="T34" i="22"/>
  <c r="S34" i="22"/>
  <c r="R34" i="22"/>
  <c r="Q34" i="22"/>
  <c r="P34" i="22"/>
  <c r="O34" i="22"/>
  <c r="M34" i="22"/>
  <c r="K48" i="22" s="1"/>
  <c r="L34" i="22"/>
  <c r="K47" i="22" s="1"/>
  <c r="K34" i="22"/>
  <c r="J34" i="22"/>
  <c r="K45" i="22" s="1"/>
  <c r="I34" i="22"/>
  <c r="K44" i="22" s="1"/>
  <c r="H34" i="22"/>
  <c r="G34" i="22"/>
  <c r="F34" i="22"/>
  <c r="E34" i="22"/>
  <c r="D34" i="22"/>
  <c r="CA33" i="22"/>
  <c r="BZ33" i="22"/>
  <c r="BY33" i="22"/>
  <c r="BX33" i="22"/>
  <c r="BW33" i="22"/>
  <c r="BV33" i="22"/>
  <c r="BP33" i="22"/>
  <c r="BO33" i="22"/>
  <c r="BN33" i="22"/>
  <c r="BM33" i="22"/>
  <c r="BL33" i="22"/>
  <c r="BH33" i="22"/>
  <c r="BE33" i="22"/>
  <c r="BD33" i="22"/>
  <c r="BC33" i="22"/>
  <c r="BB33" i="22"/>
  <c r="BA33" i="22"/>
  <c r="AW33" i="22"/>
  <c r="AT33" i="22"/>
  <c r="AS33" i="22"/>
  <c r="AR33" i="22"/>
  <c r="AQ33" i="22"/>
  <c r="AP33" i="22"/>
  <c r="AI33" i="22"/>
  <c r="AH33" i="22"/>
  <c r="AG33" i="22"/>
  <c r="AF33" i="22"/>
  <c r="AE33" i="22"/>
  <c r="AA33" i="22"/>
  <c r="X33" i="22"/>
  <c r="W33" i="22"/>
  <c r="V33" i="22"/>
  <c r="U33" i="22"/>
  <c r="T33" i="22"/>
  <c r="M33" i="22"/>
  <c r="L33" i="22"/>
  <c r="K33" i="22"/>
  <c r="J33" i="22"/>
  <c r="I33" i="22"/>
  <c r="H33" i="22"/>
  <c r="G33" i="22"/>
  <c r="F33" i="22"/>
  <c r="E33" i="22"/>
  <c r="D33" i="22"/>
  <c r="BR32" i="22"/>
  <c r="BG32" i="22"/>
  <c r="AV32" i="22"/>
  <c r="AK32" i="22"/>
  <c r="Z32" i="22"/>
  <c r="O32" i="22"/>
  <c r="D32" i="22"/>
  <c r="BS6" i="22"/>
  <c r="BS33" i="22" s="1"/>
  <c r="AZ6" i="22"/>
  <c r="AZ33" i="22" s="1"/>
  <c r="AO6" i="22"/>
  <c r="AO33" i="22" s="1"/>
  <c r="AL6" i="22"/>
  <c r="AL33" i="22" s="1"/>
  <c r="AD6" i="22"/>
  <c r="AD33" i="22" s="1"/>
  <c r="S6" i="22"/>
  <c r="R6" i="22"/>
  <c r="Q6" i="22"/>
  <c r="P6" i="22"/>
  <c r="P33" i="22" s="1"/>
  <c r="O6" i="22"/>
  <c r="BR5" i="22"/>
  <c r="BG5" i="22"/>
  <c r="AV5" i="22"/>
  <c r="AK5" i="22"/>
  <c r="Z5" i="22"/>
  <c r="O5" i="22"/>
  <c r="D5" i="22"/>
  <c r="D2" i="22"/>
  <c r="M35" i="21"/>
  <c r="L35" i="21"/>
  <c r="K35" i="21"/>
  <c r="J35" i="21"/>
  <c r="I35" i="21"/>
  <c r="H35" i="21"/>
  <c r="G35" i="21"/>
  <c r="F35" i="21"/>
  <c r="E35" i="21"/>
  <c r="D35" i="21"/>
  <c r="CA34" i="21"/>
  <c r="BZ34" i="21"/>
  <c r="BY34" i="21"/>
  <c r="BX34" i="21"/>
  <c r="BW34" i="21"/>
  <c r="BV34" i="21"/>
  <c r="BU34" i="21"/>
  <c r="BT34" i="21"/>
  <c r="BS34" i="21"/>
  <c r="BR34" i="21"/>
  <c r="BP34" i="21"/>
  <c r="BO34" i="21"/>
  <c r="BN34" i="21"/>
  <c r="BM34" i="21"/>
  <c r="BL34" i="21"/>
  <c r="BK34" i="21"/>
  <c r="BJ34" i="21"/>
  <c r="BI34" i="21"/>
  <c r="BH34" i="21"/>
  <c r="BG34" i="21"/>
  <c r="BE34" i="21"/>
  <c r="BD34" i="21"/>
  <c r="BC34" i="21"/>
  <c r="BB34" i="21"/>
  <c r="BA34" i="21"/>
  <c r="AZ34" i="21"/>
  <c r="AY34" i="21"/>
  <c r="AX34" i="21"/>
  <c r="AW34" i="21"/>
  <c r="AV34" i="21"/>
  <c r="AT34" i="21"/>
  <c r="AS34" i="21"/>
  <c r="AR34" i="21"/>
  <c r="AQ34" i="21"/>
  <c r="AP34" i="21"/>
  <c r="AO34" i="21"/>
  <c r="AN34" i="21"/>
  <c r="AM34" i="21"/>
  <c r="AL34" i="21"/>
  <c r="AK34" i="21"/>
  <c r="AI34" i="21"/>
  <c r="AH34" i="21"/>
  <c r="AG34" i="21"/>
  <c r="AF34" i="21"/>
  <c r="AE34" i="21"/>
  <c r="AD34" i="21"/>
  <c r="AC34" i="21"/>
  <c r="AB34" i="21"/>
  <c r="AA34" i="21"/>
  <c r="Z34" i="21"/>
  <c r="X34" i="21"/>
  <c r="W34" i="21"/>
  <c r="V34" i="21"/>
  <c r="U34" i="21"/>
  <c r="T34" i="21"/>
  <c r="S34" i="21"/>
  <c r="R34" i="21"/>
  <c r="Q34" i="21"/>
  <c r="P34" i="21"/>
  <c r="O34" i="21"/>
  <c r="M34" i="21"/>
  <c r="K48" i="21" s="1"/>
  <c r="L34" i="21"/>
  <c r="K34" i="21"/>
  <c r="J34" i="21"/>
  <c r="I34" i="21"/>
  <c r="H34" i="21"/>
  <c r="G34" i="21"/>
  <c r="F34" i="21"/>
  <c r="E34" i="21"/>
  <c r="D34" i="21"/>
  <c r="CA33" i="21"/>
  <c r="BZ33" i="21"/>
  <c r="BY33" i="21"/>
  <c r="BX33" i="21"/>
  <c r="BW33" i="21"/>
  <c r="BV33" i="21"/>
  <c r="BP33" i="21"/>
  <c r="BO33" i="21"/>
  <c r="BN33" i="21"/>
  <c r="BM33" i="21"/>
  <c r="BL33" i="21"/>
  <c r="BH33" i="21"/>
  <c r="BE33" i="21"/>
  <c r="BD33" i="21"/>
  <c r="BC33" i="21"/>
  <c r="BB33" i="21"/>
  <c r="BA33" i="21"/>
  <c r="AW33" i="21"/>
  <c r="AT33" i="21"/>
  <c r="AS33" i="21"/>
  <c r="AR33" i="21"/>
  <c r="AQ33" i="21"/>
  <c r="AP33" i="21"/>
  <c r="AI33" i="21"/>
  <c r="AH33" i="21"/>
  <c r="AG33" i="21"/>
  <c r="AF33" i="21"/>
  <c r="AE33" i="21"/>
  <c r="AA33" i="21"/>
  <c r="X33" i="21"/>
  <c r="W33" i="21"/>
  <c r="V33" i="21"/>
  <c r="U33" i="21"/>
  <c r="T33" i="21"/>
  <c r="M33" i="21"/>
  <c r="L33" i="21"/>
  <c r="K33" i="21"/>
  <c r="J33" i="21"/>
  <c r="I33" i="21"/>
  <c r="H33" i="21"/>
  <c r="G33" i="21"/>
  <c r="F33" i="21"/>
  <c r="E33" i="21"/>
  <c r="D33" i="21"/>
  <c r="BR32" i="21"/>
  <c r="BG32" i="21"/>
  <c r="AV32" i="21"/>
  <c r="AK32" i="21"/>
  <c r="Z32" i="21"/>
  <c r="O32" i="21"/>
  <c r="D32" i="21"/>
  <c r="BS6" i="21"/>
  <c r="BS33" i="21" s="1"/>
  <c r="AZ6" i="21"/>
  <c r="AZ33" i="21" s="1"/>
  <c r="AO6" i="21"/>
  <c r="AO33" i="21" s="1"/>
  <c r="AL6" i="21"/>
  <c r="AL33" i="21" s="1"/>
  <c r="AD6" i="21"/>
  <c r="AD33" i="21" s="1"/>
  <c r="S6" i="21"/>
  <c r="R6" i="21"/>
  <c r="Q6" i="21"/>
  <c r="P6" i="21"/>
  <c r="P33" i="21" s="1"/>
  <c r="O6" i="21"/>
  <c r="BR5" i="21"/>
  <c r="BG5" i="21"/>
  <c r="AV5" i="21"/>
  <c r="AK5" i="21"/>
  <c r="Z5" i="21"/>
  <c r="O5" i="21"/>
  <c r="D5" i="21"/>
  <c r="D2" i="21"/>
  <c r="Z6" i="20"/>
  <c r="AK6" i="20" s="1"/>
  <c r="M35" i="20"/>
  <c r="L35" i="20"/>
  <c r="K35" i="20"/>
  <c r="J35" i="20"/>
  <c r="I35" i="20"/>
  <c r="H35" i="20"/>
  <c r="G35" i="20"/>
  <c r="F35" i="20"/>
  <c r="E35" i="20"/>
  <c r="D35" i="20"/>
  <c r="CA34" i="20"/>
  <c r="BZ34" i="20"/>
  <c r="BY34" i="20"/>
  <c r="BX34" i="20"/>
  <c r="BW34" i="20"/>
  <c r="BV34" i="20"/>
  <c r="BU34" i="20"/>
  <c r="BT34" i="20"/>
  <c r="BS34" i="20"/>
  <c r="BR34" i="20"/>
  <c r="BP34" i="20"/>
  <c r="BO34" i="20"/>
  <c r="BN34" i="20"/>
  <c r="BM34" i="20"/>
  <c r="BL34" i="20"/>
  <c r="BK34" i="20"/>
  <c r="BJ34" i="20"/>
  <c r="BI34" i="20"/>
  <c r="BH34" i="20"/>
  <c r="BG34" i="20"/>
  <c r="BE34" i="20"/>
  <c r="BD34" i="20"/>
  <c r="BC34" i="20"/>
  <c r="BB34" i="20"/>
  <c r="BA34" i="20"/>
  <c r="AZ34" i="20"/>
  <c r="AY34" i="20"/>
  <c r="AX34" i="20"/>
  <c r="AW34" i="20"/>
  <c r="AV34" i="20"/>
  <c r="AT34" i="20"/>
  <c r="AS34" i="20"/>
  <c r="AR34" i="20"/>
  <c r="AQ34" i="20"/>
  <c r="AP34" i="20"/>
  <c r="AO34" i="20"/>
  <c r="AN34" i="20"/>
  <c r="AM34" i="20"/>
  <c r="AL34" i="20"/>
  <c r="AK34" i="20"/>
  <c r="AI34" i="20"/>
  <c r="AH34" i="20"/>
  <c r="AG34" i="20"/>
  <c r="AF34" i="20"/>
  <c r="AE34" i="20"/>
  <c r="AD34" i="20"/>
  <c r="AC34" i="20"/>
  <c r="AB34" i="20"/>
  <c r="AA34" i="20"/>
  <c r="Z34" i="20"/>
  <c r="X34" i="20"/>
  <c r="W34" i="20"/>
  <c r="V34" i="20"/>
  <c r="U34" i="20"/>
  <c r="T34" i="20"/>
  <c r="S34" i="20"/>
  <c r="R34" i="20"/>
  <c r="Q34" i="20"/>
  <c r="P34" i="20"/>
  <c r="O34" i="20"/>
  <c r="M34" i="20"/>
  <c r="K48" i="20" s="1"/>
  <c r="L34" i="20"/>
  <c r="K47" i="20" s="1"/>
  <c r="K34" i="20"/>
  <c r="K46" i="20" s="1"/>
  <c r="J34" i="20"/>
  <c r="K45" i="20" s="1"/>
  <c r="I34" i="20"/>
  <c r="K44" i="20" s="1"/>
  <c r="H34" i="20"/>
  <c r="G34" i="20"/>
  <c r="F34" i="20"/>
  <c r="E34" i="20"/>
  <c r="D34" i="20"/>
  <c r="K39" i="20" s="1"/>
  <c r="CA33" i="20"/>
  <c r="BZ33" i="20"/>
  <c r="BY33" i="20"/>
  <c r="BX33" i="20"/>
  <c r="BW33" i="20"/>
  <c r="BV33" i="20"/>
  <c r="BS33" i="20"/>
  <c r="BP33" i="20"/>
  <c r="BO33" i="20"/>
  <c r="BN33" i="20"/>
  <c r="BM33" i="20"/>
  <c r="BL33" i="20"/>
  <c r="BH33" i="20"/>
  <c r="BE33" i="20"/>
  <c r="BD33" i="20"/>
  <c r="BC33" i="20"/>
  <c r="BB33" i="20"/>
  <c r="BA33" i="20"/>
  <c r="AZ33" i="20"/>
  <c r="AW33" i="20"/>
  <c r="AT33" i="20"/>
  <c r="AS33" i="20"/>
  <c r="AR33" i="20"/>
  <c r="AQ33" i="20"/>
  <c r="AP33" i="20"/>
  <c r="AO33" i="20"/>
  <c r="AL33" i="20"/>
  <c r="AI33" i="20"/>
  <c r="AH33" i="20"/>
  <c r="AG33" i="20"/>
  <c r="AF33" i="20"/>
  <c r="AE33" i="20"/>
  <c r="AA33" i="20"/>
  <c r="Z33" i="20"/>
  <c r="X33" i="20"/>
  <c r="W33" i="20"/>
  <c r="V33" i="20"/>
  <c r="U33" i="20"/>
  <c r="T33" i="20"/>
  <c r="M33" i="20"/>
  <c r="L33" i="20"/>
  <c r="K33" i="20"/>
  <c r="J33" i="20"/>
  <c r="I33" i="20"/>
  <c r="H33" i="20"/>
  <c r="G33" i="20"/>
  <c r="F33" i="20"/>
  <c r="E33" i="20"/>
  <c r="D33" i="20"/>
  <c r="BR32" i="20"/>
  <c r="BG32" i="20"/>
  <c r="AV32" i="20"/>
  <c r="AK32" i="20"/>
  <c r="Z32" i="20"/>
  <c r="O32" i="20"/>
  <c r="D32" i="20"/>
  <c r="BS6" i="20"/>
  <c r="AZ6" i="20"/>
  <c r="AO6" i="20"/>
  <c r="AL6" i="20"/>
  <c r="AD6" i="20"/>
  <c r="AD33" i="20" s="1"/>
  <c r="S6" i="20"/>
  <c r="R6" i="20"/>
  <c r="Q6" i="20"/>
  <c r="P6" i="20"/>
  <c r="P33" i="20" s="1"/>
  <c r="O6" i="20"/>
  <c r="O33" i="20" s="1"/>
  <c r="BR5" i="20"/>
  <c r="BG5" i="20"/>
  <c r="AV5" i="20"/>
  <c r="AK5" i="20"/>
  <c r="Z5" i="20"/>
  <c r="O5" i="20"/>
  <c r="D5" i="20"/>
  <c r="D2" i="20"/>
  <c r="M35" i="19"/>
  <c r="L35" i="19"/>
  <c r="K35" i="19"/>
  <c r="J35" i="19"/>
  <c r="I35" i="19"/>
  <c r="H35" i="19"/>
  <c r="G35" i="19"/>
  <c r="F35" i="19"/>
  <c r="E35" i="19"/>
  <c r="D35" i="19"/>
  <c r="CA34" i="19"/>
  <c r="BZ34" i="19"/>
  <c r="BY34" i="19"/>
  <c r="BX34" i="19"/>
  <c r="BW34" i="19"/>
  <c r="BV34" i="19"/>
  <c r="BU34" i="19"/>
  <c r="BT34" i="19"/>
  <c r="BS34" i="19"/>
  <c r="BR34" i="19"/>
  <c r="BP34" i="19"/>
  <c r="BO34" i="19"/>
  <c r="BN34" i="19"/>
  <c r="BM34" i="19"/>
  <c r="BL34" i="19"/>
  <c r="BK34" i="19"/>
  <c r="BJ34" i="19"/>
  <c r="BI34" i="19"/>
  <c r="BH34" i="19"/>
  <c r="BG34" i="19"/>
  <c r="BE34" i="19"/>
  <c r="BD34" i="19"/>
  <c r="BC34" i="19"/>
  <c r="BB34" i="19"/>
  <c r="BA34" i="19"/>
  <c r="AZ34" i="19"/>
  <c r="AY34" i="19"/>
  <c r="AX34" i="19"/>
  <c r="AW34" i="19"/>
  <c r="AV34" i="19"/>
  <c r="AT34" i="19"/>
  <c r="AS34" i="19"/>
  <c r="AR34" i="19"/>
  <c r="AQ34" i="19"/>
  <c r="AP34" i="19"/>
  <c r="AO34" i="19"/>
  <c r="AN34" i="19"/>
  <c r="AM34" i="19"/>
  <c r="AL34" i="19"/>
  <c r="AK34" i="19"/>
  <c r="AI34" i="19"/>
  <c r="AH34" i="19"/>
  <c r="AG34" i="19"/>
  <c r="AF34" i="19"/>
  <c r="AE34" i="19"/>
  <c r="AD34" i="19"/>
  <c r="AC34" i="19"/>
  <c r="AB34" i="19"/>
  <c r="AA34" i="19"/>
  <c r="Z34" i="19"/>
  <c r="X34" i="19"/>
  <c r="W34" i="19"/>
  <c r="V34" i="19"/>
  <c r="U34" i="19"/>
  <c r="T34" i="19"/>
  <c r="S34" i="19"/>
  <c r="R34" i="19"/>
  <c r="Q34" i="19"/>
  <c r="P34" i="19"/>
  <c r="O34" i="19"/>
  <c r="M34" i="19"/>
  <c r="L34" i="19"/>
  <c r="K34" i="19"/>
  <c r="J34" i="19"/>
  <c r="I34" i="19"/>
  <c r="H34" i="19"/>
  <c r="G34" i="19"/>
  <c r="F34" i="19"/>
  <c r="E34" i="19"/>
  <c r="D34" i="19"/>
  <c r="CA33" i="19"/>
  <c r="BZ33" i="19"/>
  <c r="BY33" i="19"/>
  <c r="BX33" i="19"/>
  <c r="BW33" i="19"/>
  <c r="BV33" i="19"/>
  <c r="BP33" i="19"/>
  <c r="BO33" i="19"/>
  <c r="BN33" i="19"/>
  <c r="BM33" i="19"/>
  <c r="BL33" i="19"/>
  <c r="BH33" i="19"/>
  <c r="BE33" i="19"/>
  <c r="BD33" i="19"/>
  <c r="BC33" i="19"/>
  <c r="BB33" i="19"/>
  <c r="BA33" i="19"/>
  <c r="AW33" i="19"/>
  <c r="AT33" i="19"/>
  <c r="AS33" i="19"/>
  <c r="AR33" i="19"/>
  <c r="AQ33" i="19"/>
  <c r="AP33" i="19"/>
  <c r="AI33" i="19"/>
  <c r="AH33" i="19"/>
  <c r="AG33" i="19"/>
  <c r="AF33" i="19"/>
  <c r="AE33" i="19"/>
  <c r="AA33" i="19"/>
  <c r="X33" i="19"/>
  <c r="W33" i="19"/>
  <c r="V33" i="19"/>
  <c r="U33" i="19"/>
  <c r="T33" i="19"/>
  <c r="M33" i="19"/>
  <c r="L33" i="19"/>
  <c r="K33" i="19"/>
  <c r="J33" i="19"/>
  <c r="I33" i="19"/>
  <c r="H33" i="19"/>
  <c r="G33" i="19"/>
  <c r="F33" i="19"/>
  <c r="E33" i="19"/>
  <c r="D33" i="19"/>
  <c r="BR32" i="19"/>
  <c r="BG32" i="19"/>
  <c r="AV32" i="19"/>
  <c r="AK32" i="19"/>
  <c r="Z32" i="19"/>
  <c r="O32" i="19"/>
  <c r="D32" i="19"/>
  <c r="BS6" i="19"/>
  <c r="AZ6" i="19"/>
  <c r="AO6" i="19"/>
  <c r="AL6" i="19"/>
  <c r="AD6" i="19"/>
  <c r="S6" i="19"/>
  <c r="R6" i="19"/>
  <c r="Q6" i="19"/>
  <c r="P6" i="19"/>
  <c r="O6" i="19"/>
  <c r="BR5" i="19"/>
  <c r="BG5" i="19"/>
  <c r="AV5" i="19"/>
  <c r="AK5" i="19"/>
  <c r="Z5" i="19"/>
  <c r="O5" i="19"/>
  <c r="D5" i="19"/>
  <c r="D2" i="19"/>
  <c r="M35" i="18"/>
  <c r="L35" i="18"/>
  <c r="K35" i="18"/>
  <c r="J35" i="18"/>
  <c r="I35" i="18"/>
  <c r="H35" i="18"/>
  <c r="G35" i="18"/>
  <c r="F35" i="18"/>
  <c r="E35" i="18"/>
  <c r="D35" i="18"/>
  <c r="CA34" i="18"/>
  <c r="BZ34" i="18"/>
  <c r="BY34" i="18"/>
  <c r="BX34" i="18"/>
  <c r="BW34" i="18"/>
  <c r="BV34" i="18"/>
  <c r="BU34" i="18"/>
  <c r="BT34" i="18"/>
  <c r="BS34" i="18"/>
  <c r="BR34" i="18"/>
  <c r="BP34" i="18"/>
  <c r="BO34" i="18"/>
  <c r="BN34" i="18"/>
  <c r="BM34" i="18"/>
  <c r="BL34" i="18"/>
  <c r="BK34" i="18"/>
  <c r="BJ34" i="18"/>
  <c r="BI34" i="18"/>
  <c r="BH34" i="18"/>
  <c r="BG34" i="18"/>
  <c r="BE34" i="18"/>
  <c r="BD34" i="18"/>
  <c r="BC34" i="18"/>
  <c r="BB34" i="18"/>
  <c r="BA34" i="18"/>
  <c r="AZ34" i="18"/>
  <c r="AY34" i="18"/>
  <c r="AX34" i="18"/>
  <c r="AW34" i="18"/>
  <c r="AV34" i="18"/>
  <c r="AT34" i="18"/>
  <c r="AS34" i="18"/>
  <c r="AR34" i="18"/>
  <c r="AQ34" i="18"/>
  <c r="AP34" i="18"/>
  <c r="AO34" i="18"/>
  <c r="AN34" i="18"/>
  <c r="AM34" i="18"/>
  <c r="AL34" i="18"/>
  <c r="AK34" i="18"/>
  <c r="AI34" i="18"/>
  <c r="AH34" i="18"/>
  <c r="AG34" i="18"/>
  <c r="AF34" i="18"/>
  <c r="AE34" i="18"/>
  <c r="AD34" i="18"/>
  <c r="AC34" i="18"/>
  <c r="AB34" i="18"/>
  <c r="AA34" i="18"/>
  <c r="Z34" i="18"/>
  <c r="X34" i="18"/>
  <c r="W34" i="18"/>
  <c r="V34" i="18"/>
  <c r="U34" i="18"/>
  <c r="T34" i="18"/>
  <c r="S34" i="18"/>
  <c r="R34" i="18"/>
  <c r="Q34" i="18"/>
  <c r="P34" i="18"/>
  <c r="O34" i="18"/>
  <c r="M34" i="18"/>
  <c r="L34" i="18"/>
  <c r="K34" i="18"/>
  <c r="J34" i="18"/>
  <c r="I34" i="18"/>
  <c r="H34" i="18"/>
  <c r="G34" i="18"/>
  <c r="F34" i="18"/>
  <c r="E34" i="18"/>
  <c r="D34" i="18"/>
  <c r="CA33" i="18"/>
  <c r="BZ33" i="18"/>
  <c r="BY33" i="18"/>
  <c r="BX33" i="18"/>
  <c r="BW33" i="18"/>
  <c r="BV33" i="18"/>
  <c r="BP33" i="18"/>
  <c r="BO33" i="18"/>
  <c r="BN33" i="18"/>
  <c r="BM33" i="18"/>
  <c r="BL33" i="18"/>
  <c r="BH33" i="18"/>
  <c r="BE33" i="18"/>
  <c r="BD33" i="18"/>
  <c r="BC33" i="18"/>
  <c r="BB33" i="18"/>
  <c r="BA33" i="18"/>
  <c r="AW33" i="18"/>
  <c r="AT33" i="18"/>
  <c r="AS33" i="18"/>
  <c r="AR33" i="18"/>
  <c r="AQ33" i="18"/>
  <c r="AP33" i="18"/>
  <c r="AI33" i="18"/>
  <c r="AH33" i="18"/>
  <c r="AG33" i="18"/>
  <c r="AF33" i="18"/>
  <c r="AE33" i="18"/>
  <c r="AA33" i="18"/>
  <c r="X33" i="18"/>
  <c r="W33" i="18"/>
  <c r="V33" i="18"/>
  <c r="U33" i="18"/>
  <c r="T33" i="18"/>
  <c r="M33" i="18"/>
  <c r="L33" i="18"/>
  <c r="K33" i="18"/>
  <c r="J33" i="18"/>
  <c r="I33" i="18"/>
  <c r="H33" i="18"/>
  <c r="G33" i="18"/>
  <c r="F33" i="18"/>
  <c r="E33" i="18"/>
  <c r="D33" i="18"/>
  <c r="BR32" i="18"/>
  <c r="BG32" i="18"/>
  <c r="AV32" i="18"/>
  <c r="AK32" i="18"/>
  <c r="Z32" i="18"/>
  <c r="O32" i="18"/>
  <c r="D32" i="18"/>
  <c r="BS6" i="18"/>
  <c r="AZ6" i="18"/>
  <c r="AO6" i="18"/>
  <c r="AL6" i="18"/>
  <c r="AD6" i="18"/>
  <c r="S6" i="18"/>
  <c r="R6" i="18"/>
  <c r="Q6" i="18"/>
  <c r="P6" i="18"/>
  <c r="O6" i="18"/>
  <c r="BR5" i="18"/>
  <c r="BG5" i="18"/>
  <c r="AV5" i="18"/>
  <c r="AK5" i="18"/>
  <c r="Z5" i="18"/>
  <c r="O5" i="18"/>
  <c r="D5" i="18"/>
  <c r="D2" i="18"/>
  <c r="M35" i="17"/>
  <c r="L35" i="17"/>
  <c r="K35" i="17"/>
  <c r="J35" i="17"/>
  <c r="I35" i="17"/>
  <c r="H35" i="17"/>
  <c r="G35" i="17"/>
  <c r="F35" i="17"/>
  <c r="E35" i="17"/>
  <c r="D35" i="17"/>
  <c r="CA34" i="17"/>
  <c r="BZ34" i="17"/>
  <c r="BY34" i="17"/>
  <c r="BX34" i="17"/>
  <c r="BW34" i="17"/>
  <c r="BV34" i="17"/>
  <c r="BU34" i="17"/>
  <c r="BT34" i="17"/>
  <c r="BS34" i="17"/>
  <c r="BR34" i="17"/>
  <c r="BP34" i="17"/>
  <c r="BO34" i="17"/>
  <c r="BN34" i="17"/>
  <c r="BM34" i="17"/>
  <c r="BL34" i="17"/>
  <c r="BK34" i="17"/>
  <c r="BJ34" i="17"/>
  <c r="BI34" i="17"/>
  <c r="BH34" i="17"/>
  <c r="BG34" i="17"/>
  <c r="BE34" i="17"/>
  <c r="BD34" i="17"/>
  <c r="BC34" i="17"/>
  <c r="BB34" i="17"/>
  <c r="BA34" i="17"/>
  <c r="AZ34" i="17"/>
  <c r="AY34" i="17"/>
  <c r="AX34" i="17"/>
  <c r="AW34" i="17"/>
  <c r="AV34" i="17"/>
  <c r="AT34" i="17"/>
  <c r="AS34" i="17"/>
  <c r="AR34" i="17"/>
  <c r="AQ34" i="17"/>
  <c r="AP34" i="17"/>
  <c r="AO34" i="17"/>
  <c r="AN34" i="17"/>
  <c r="AM34" i="17"/>
  <c r="AL34" i="17"/>
  <c r="AK34" i="17"/>
  <c r="AI34" i="17"/>
  <c r="AH34" i="17"/>
  <c r="AG34" i="17"/>
  <c r="AF34" i="17"/>
  <c r="AE34" i="17"/>
  <c r="AD34" i="17"/>
  <c r="AC34" i="17"/>
  <c r="AB34" i="17"/>
  <c r="AA34" i="17"/>
  <c r="Z34" i="17"/>
  <c r="X34" i="17"/>
  <c r="W34" i="17"/>
  <c r="V34" i="17"/>
  <c r="U34" i="17"/>
  <c r="T34" i="17"/>
  <c r="S34" i="17"/>
  <c r="R34" i="17"/>
  <c r="Q34" i="17"/>
  <c r="P34" i="17"/>
  <c r="O34" i="17"/>
  <c r="M34" i="17"/>
  <c r="L34" i="17"/>
  <c r="K34" i="17"/>
  <c r="J34" i="17"/>
  <c r="I34" i="17"/>
  <c r="H34" i="17"/>
  <c r="G34" i="17"/>
  <c r="F34" i="17"/>
  <c r="E34" i="17"/>
  <c r="D34" i="17"/>
  <c r="CA33" i="17"/>
  <c r="BZ33" i="17"/>
  <c r="BY33" i="17"/>
  <c r="BX33" i="17"/>
  <c r="BW33" i="17"/>
  <c r="BV33" i="17"/>
  <c r="BP33" i="17"/>
  <c r="BO33" i="17"/>
  <c r="BN33" i="17"/>
  <c r="BM33" i="17"/>
  <c r="BL33" i="17"/>
  <c r="BH33" i="17"/>
  <c r="BE33" i="17"/>
  <c r="BD33" i="17"/>
  <c r="BC33" i="17"/>
  <c r="BB33" i="17"/>
  <c r="BA33" i="17"/>
  <c r="AW33" i="17"/>
  <c r="AT33" i="17"/>
  <c r="AS33" i="17"/>
  <c r="AR33" i="17"/>
  <c r="AQ33" i="17"/>
  <c r="AP33" i="17"/>
  <c r="AI33" i="17"/>
  <c r="AH33" i="17"/>
  <c r="AG33" i="17"/>
  <c r="AF33" i="17"/>
  <c r="AE33" i="17"/>
  <c r="AA33" i="17"/>
  <c r="X33" i="17"/>
  <c r="W33" i="17"/>
  <c r="V33" i="17"/>
  <c r="U33" i="17"/>
  <c r="T33" i="17"/>
  <c r="M33" i="17"/>
  <c r="L33" i="17"/>
  <c r="K33" i="17"/>
  <c r="J33" i="17"/>
  <c r="I33" i="17"/>
  <c r="H33" i="17"/>
  <c r="G33" i="17"/>
  <c r="F33" i="17"/>
  <c r="E33" i="17"/>
  <c r="D33" i="17"/>
  <c r="BR32" i="17"/>
  <c r="BG32" i="17"/>
  <c r="AV32" i="17"/>
  <c r="AK32" i="17"/>
  <c r="Z32" i="17"/>
  <c r="O32" i="17"/>
  <c r="D32" i="17"/>
  <c r="BS6" i="17"/>
  <c r="AZ6" i="17"/>
  <c r="AO6" i="17"/>
  <c r="AL6" i="17"/>
  <c r="AD6" i="17"/>
  <c r="S6" i="17"/>
  <c r="R6" i="17"/>
  <c r="Q6" i="17"/>
  <c r="P6" i="17"/>
  <c r="O6" i="17"/>
  <c r="BR5" i="17"/>
  <c r="BG5" i="17"/>
  <c r="AV5" i="17"/>
  <c r="AK5" i="17"/>
  <c r="Z5" i="17"/>
  <c r="O5" i="17"/>
  <c r="D5" i="17"/>
  <c r="D2" i="17"/>
  <c r="M35" i="16"/>
  <c r="L35" i="16"/>
  <c r="K35" i="16"/>
  <c r="J35" i="16"/>
  <c r="I35" i="16"/>
  <c r="H35" i="16"/>
  <c r="G35" i="16"/>
  <c r="F35" i="16"/>
  <c r="E35" i="16"/>
  <c r="D35" i="16"/>
  <c r="CA34" i="16"/>
  <c r="BZ34" i="16"/>
  <c r="BY34" i="16"/>
  <c r="BX34" i="16"/>
  <c r="BW34" i="16"/>
  <c r="BV34" i="16"/>
  <c r="BU34" i="16"/>
  <c r="BT34" i="16"/>
  <c r="BS34" i="16"/>
  <c r="BR34" i="16"/>
  <c r="BP34" i="16"/>
  <c r="BO34" i="16"/>
  <c r="BN34" i="16"/>
  <c r="BM34" i="16"/>
  <c r="BL34" i="16"/>
  <c r="BK34" i="16"/>
  <c r="BJ34" i="16"/>
  <c r="BI34" i="16"/>
  <c r="BH34" i="16"/>
  <c r="BG34" i="16"/>
  <c r="BE34" i="16"/>
  <c r="BD34" i="16"/>
  <c r="BC34" i="16"/>
  <c r="BB34" i="16"/>
  <c r="BA34" i="16"/>
  <c r="AZ34" i="16"/>
  <c r="AY34" i="16"/>
  <c r="AX34" i="16"/>
  <c r="AW34" i="16"/>
  <c r="AV34" i="16"/>
  <c r="AT34" i="16"/>
  <c r="AS34" i="16"/>
  <c r="AR34" i="16"/>
  <c r="AQ34" i="16"/>
  <c r="AP34" i="16"/>
  <c r="AO34" i="16"/>
  <c r="AN34" i="16"/>
  <c r="AM34" i="16"/>
  <c r="AL34" i="16"/>
  <c r="AK34" i="16"/>
  <c r="AI34" i="16"/>
  <c r="AH34" i="16"/>
  <c r="AG34" i="16"/>
  <c r="AF34" i="16"/>
  <c r="AE34" i="16"/>
  <c r="AD34" i="16"/>
  <c r="AC34" i="16"/>
  <c r="AB34" i="16"/>
  <c r="AA34" i="16"/>
  <c r="Z34" i="16"/>
  <c r="X34" i="16"/>
  <c r="W34" i="16"/>
  <c r="V34" i="16"/>
  <c r="U34" i="16"/>
  <c r="T34" i="16"/>
  <c r="S34" i="16"/>
  <c r="R34" i="16"/>
  <c r="Q34" i="16"/>
  <c r="P34" i="16"/>
  <c r="O34" i="16"/>
  <c r="M34" i="16"/>
  <c r="L34" i="16"/>
  <c r="K34" i="16"/>
  <c r="J34" i="16"/>
  <c r="I34" i="16"/>
  <c r="H34" i="16"/>
  <c r="G34" i="16"/>
  <c r="F34" i="16"/>
  <c r="E34" i="16"/>
  <c r="D34" i="16"/>
  <c r="CA33" i="16"/>
  <c r="BZ33" i="16"/>
  <c r="BY33" i="16"/>
  <c r="BX33" i="16"/>
  <c r="BW33" i="16"/>
  <c r="BV33" i="16"/>
  <c r="BP33" i="16"/>
  <c r="BO33" i="16"/>
  <c r="BN33" i="16"/>
  <c r="BM33" i="16"/>
  <c r="BL33" i="16"/>
  <c r="BH33" i="16"/>
  <c r="BE33" i="16"/>
  <c r="BD33" i="16"/>
  <c r="BC33" i="16"/>
  <c r="BB33" i="16"/>
  <c r="BA33" i="16"/>
  <c r="AW33" i="16"/>
  <c r="AT33" i="16"/>
  <c r="AS33" i="16"/>
  <c r="AR33" i="16"/>
  <c r="AQ33" i="16"/>
  <c r="AP33" i="16"/>
  <c r="AI33" i="16"/>
  <c r="AH33" i="16"/>
  <c r="AG33" i="16"/>
  <c r="AF33" i="16"/>
  <c r="AE33" i="16"/>
  <c r="AA33" i="16"/>
  <c r="X33" i="16"/>
  <c r="W33" i="16"/>
  <c r="V33" i="16"/>
  <c r="U33" i="16"/>
  <c r="T33" i="16"/>
  <c r="M33" i="16"/>
  <c r="L33" i="16"/>
  <c r="K33" i="16"/>
  <c r="J33" i="16"/>
  <c r="I33" i="16"/>
  <c r="H33" i="16"/>
  <c r="G33" i="16"/>
  <c r="F33" i="16"/>
  <c r="E33" i="16"/>
  <c r="D33" i="16"/>
  <c r="BR32" i="16"/>
  <c r="BG32" i="16"/>
  <c r="AV32" i="16"/>
  <c r="AK32" i="16"/>
  <c r="Z32" i="16"/>
  <c r="O32" i="16"/>
  <c r="D32" i="16"/>
  <c r="BS6" i="16"/>
  <c r="BK6" i="16"/>
  <c r="AZ6" i="16"/>
  <c r="AO6" i="16"/>
  <c r="AL6" i="16"/>
  <c r="AD6" i="16"/>
  <c r="S6" i="16"/>
  <c r="R6" i="16"/>
  <c r="Q6" i="16"/>
  <c r="P6" i="16"/>
  <c r="O6" i="16"/>
  <c r="BR5" i="16"/>
  <c r="BG5" i="16"/>
  <c r="AV5" i="16"/>
  <c r="AK5" i="16"/>
  <c r="Z5" i="16"/>
  <c r="O5" i="16"/>
  <c r="D5" i="16"/>
  <c r="D2" i="16"/>
  <c r="M35" i="15"/>
  <c r="L35" i="15"/>
  <c r="K35" i="15"/>
  <c r="J35" i="15"/>
  <c r="I35" i="15"/>
  <c r="H35" i="15"/>
  <c r="G35" i="15"/>
  <c r="F35" i="15"/>
  <c r="E35" i="15"/>
  <c r="D35" i="15"/>
  <c r="CA34" i="15"/>
  <c r="BZ34" i="15"/>
  <c r="BY34" i="15"/>
  <c r="BX34" i="15"/>
  <c r="BW34" i="15"/>
  <c r="BV34" i="15"/>
  <c r="BU34" i="15"/>
  <c r="BT34" i="15"/>
  <c r="BS34" i="15"/>
  <c r="BR34" i="15"/>
  <c r="BP34" i="15"/>
  <c r="BO34" i="15"/>
  <c r="BN34" i="15"/>
  <c r="BM34" i="15"/>
  <c r="BL34" i="15"/>
  <c r="BK34" i="15"/>
  <c r="BJ34" i="15"/>
  <c r="BI34" i="15"/>
  <c r="BH34" i="15"/>
  <c r="BG34" i="15"/>
  <c r="BE34" i="15"/>
  <c r="BD34" i="15"/>
  <c r="BC34" i="15"/>
  <c r="BB34" i="15"/>
  <c r="BA34" i="15"/>
  <c r="AZ34" i="15"/>
  <c r="AY34" i="15"/>
  <c r="AX34" i="15"/>
  <c r="AW34" i="15"/>
  <c r="AV34" i="15"/>
  <c r="AT34" i="15"/>
  <c r="AS34" i="15"/>
  <c r="AR34" i="15"/>
  <c r="AQ34" i="15"/>
  <c r="AP34" i="15"/>
  <c r="AO34" i="15"/>
  <c r="AN34" i="15"/>
  <c r="AM34" i="15"/>
  <c r="AL34" i="15"/>
  <c r="AK34" i="15"/>
  <c r="AI34" i="15"/>
  <c r="AH34" i="15"/>
  <c r="K47" i="15" s="1"/>
  <c r="AG34" i="15"/>
  <c r="AF34" i="15"/>
  <c r="AE34" i="15"/>
  <c r="AD34" i="15"/>
  <c r="AC34" i="15"/>
  <c r="AB34" i="15"/>
  <c r="AA34" i="15"/>
  <c r="Z34" i="15"/>
  <c r="X34" i="15"/>
  <c r="W34" i="15"/>
  <c r="V34" i="15"/>
  <c r="U34" i="15"/>
  <c r="T34" i="15"/>
  <c r="S34" i="15"/>
  <c r="R34" i="15"/>
  <c r="Q34" i="15"/>
  <c r="P34" i="15"/>
  <c r="O34" i="15"/>
  <c r="M34" i="15"/>
  <c r="L34" i="15"/>
  <c r="K34" i="15"/>
  <c r="J34" i="15"/>
  <c r="I34" i="15"/>
  <c r="H34" i="15"/>
  <c r="G34" i="15"/>
  <c r="F34" i="15"/>
  <c r="E34" i="15"/>
  <c r="D34" i="15"/>
  <c r="CA33" i="15"/>
  <c r="BZ33" i="15"/>
  <c r="BY33" i="15"/>
  <c r="BX33" i="15"/>
  <c r="BW33" i="15"/>
  <c r="BV33" i="15"/>
  <c r="BP33" i="15"/>
  <c r="BO33" i="15"/>
  <c r="BN33" i="15"/>
  <c r="BM33" i="15"/>
  <c r="BL33" i="15"/>
  <c r="BH33" i="15"/>
  <c r="BE33" i="15"/>
  <c r="BD33" i="15"/>
  <c r="BC33" i="15"/>
  <c r="BB33" i="15"/>
  <c r="BA33" i="15"/>
  <c r="AW33" i="15"/>
  <c r="AT33" i="15"/>
  <c r="AS33" i="15"/>
  <c r="AR33" i="15"/>
  <c r="AQ33" i="15"/>
  <c r="AP33" i="15"/>
  <c r="AI33" i="15"/>
  <c r="AH33" i="15"/>
  <c r="AG33" i="15"/>
  <c r="AF33" i="15"/>
  <c r="AE33" i="15"/>
  <c r="AA33" i="15"/>
  <c r="X33" i="15"/>
  <c r="W33" i="15"/>
  <c r="V33" i="15"/>
  <c r="U33" i="15"/>
  <c r="T33" i="15"/>
  <c r="M33" i="15"/>
  <c r="L33" i="15"/>
  <c r="K33" i="15"/>
  <c r="J33" i="15"/>
  <c r="I33" i="15"/>
  <c r="H33" i="15"/>
  <c r="G33" i="15"/>
  <c r="F33" i="15"/>
  <c r="E33" i="15"/>
  <c r="D33" i="15"/>
  <c r="BR32" i="15"/>
  <c r="BG32" i="15"/>
  <c r="AV32" i="15"/>
  <c r="AK32" i="15"/>
  <c r="Z32" i="15"/>
  <c r="O32" i="15"/>
  <c r="D32" i="15"/>
  <c r="BS6" i="15"/>
  <c r="AZ6" i="15"/>
  <c r="AZ33" i="15" s="1"/>
  <c r="AO6" i="15"/>
  <c r="AL6" i="15"/>
  <c r="AD6" i="15"/>
  <c r="AD33" i="15" s="1"/>
  <c r="S6" i="15"/>
  <c r="S33" i="15" s="1"/>
  <c r="R6" i="15"/>
  <c r="Q6" i="15"/>
  <c r="AB6" i="15" s="1"/>
  <c r="P6" i="15"/>
  <c r="O6" i="15"/>
  <c r="O33" i="15" s="1"/>
  <c r="BR5" i="15"/>
  <c r="BG5" i="15"/>
  <c r="AV5" i="15"/>
  <c r="AK5" i="15"/>
  <c r="Z5" i="15"/>
  <c r="O5" i="15"/>
  <c r="D5" i="15"/>
  <c r="D2" i="15"/>
  <c r="M35" i="14"/>
  <c r="L35" i="14"/>
  <c r="K35" i="14"/>
  <c r="J35" i="14"/>
  <c r="I35" i="14"/>
  <c r="H35" i="14"/>
  <c r="G35" i="14"/>
  <c r="F35" i="14"/>
  <c r="E35" i="14"/>
  <c r="D35" i="14"/>
  <c r="CA34" i="14"/>
  <c r="BZ34" i="14"/>
  <c r="BY34" i="14"/>
  <c r="BX34" i="14"/>
  <c r="BW34" i="14"/>
  <c r="BV34" i="14"/>
  <c r="BU34" i="14"/>
  <c r="BT34" i="14"/>
  <c r="BS34" i="14"/>
  <c r="BR34" i="14"/>
  <c r="BP34" i="14"/>
  <c r="BO34" i="14"/>
  <c r="BN34" i="14"/>
  <c r="BM34" i="14"/>
  <c r="BL34" i="14"/>
  <c r="BK34" i="14"/>
  <c r="BJ34" i="14"/>
  <c r="BI34" i="14"/>
  <c r="BH34" i="14"/>
  <c r="BG34" i="14"/>
  <c r="BE34" i="14"/>
  <c r="BD34" i="14"/>
  <c r="BC34" i="14"/>
  <c r="BB34" i="14"/>
  <c r="BA34" i="14"/>
  <c r="AZ34" i="14"/>
  <c r="AY34" i="14"/>
  <c r="AX34" i="14"/>
  <c r="AW34" i="14"/>
  <c r="AV34" i="14"/>
  <c r="AT34" i="14"/>
  <c r="AS34" i="14"/>
  <c r="AR34" i="14"/>
  <c r="AQ34" i="14"/>
  <c r="AP34" i="14"/>
  <c r="AO34" i="14"/>
  <c r="AN34" i="14"/>
  <c r="AM34" i="14"/>
  <c r="AL34" i="14"/>
  <c r="AK34" i="14"/>
  <c r="AI34" i="14"/>
  <c r="AH34" i="14"/>
  <c r="AG34" i="14"/>
  <c r="AF34" i="14"/>
  <c r="AE34" i="14"/>
  <c r="AD34" i="14"/>
  <c r="AC34" i="14"/>
  <c r="AB34" i="14"/>
  <c r="AA34" i="14"/>
  <c r="Z34" i="14"/>
  <c r="X34" i="14"/>
  <c r="W34" i="14"/>
  <c r="V34" i="14"/>
  <c r="U34" i="14"/>
  <c r="T34" i="14"/>
  <c r="S34" i="14"/>
  <c r="R34" i="14"/>
  <c r="Q34" i="14"/>
  <c r="P34" i="14"/>
  <c r="O34" i="14"/>
  <c r="M34" i="14"/>
  <c r="L34" i="14"/>
  <c r="K34" i="14"/>
  <c r="J34" i="14"/>
  <c r="I34" i="14"/>
  <c r="H34" i="14"/>
  <c r="G34" i="14"/>
  <c r="F34" i="14"/>
  <c r="E34" i="14"/>
  <c r="D34" i="14"/>
  <c r="CA33" i="14"/>
  <c r="BZ33" i="14"/>
  <c r="BY33" i="14"/>
  <c r="BX33" i="14"/>
  <c r="BW33" i="14"/>
  <c r="BV33" i="14"/>
  <c r="BP33" i="14"/>
  <c r="BO33" i="14"/>
  <c r="BN33" i="14"/>
  <c r="BM33" i="14"/>
  <c r="BL33" i="14"/>
  <c r="BH33" i="14"/>
  <c r="BE33" i="14"/>
  <c r="BD33" i="14"/>
  <c r="BC33" i="14"/>
  <c r="BB33" i="14"/>
  <c r="BA33" i="14"/>
  <c r="AW33" i="14"/>
  <c r="AT33" i="14"/>
  <c r="AS33" i="14"/>
  <c r="AR33" i="14"/>
  <c r="AQ33" i="14"/>
  <c r="AP33" i="14"/>
  <c r="AI33" i="14"/>
  <c r="AH33" i="14"/>
  <c r="AG33" i="14"/>
  <c r="AF33" i="14"/>
  <c r="AE33" i="14"/>
  <c r="AA33" i="14"/>
  <c r="X33" i="14"/>
  <c r="W33" i="14"/>
  <c r="V33" i="14"/>
  <c r="U33" i="14"/>
  <c r="T33" i="14"/>
  <c r="M33" i="14"/>
  <c r="L33" i="14"/>
  <c r="K33" i="14"/>
  <c r="J33" i="14"/>
  <c r="I33" i="14"/>
  <c r="H33" i="14"/>
  <c r="G33" i="14"/>
  <c r="F33" i="14"/>
  <c r="E33" i="14"/>
  <c r="D33" i="14"/>
  <c r="BR32" i="14"/>
  <c r="BG32" i="14"/>
  <c r="AV32" i="14"/>
  <c r="AK32" i="14"/>
  <c r="Z32" i="14"/>
  <c r="O32" i="14"/>
  <c r="D32" i="14"/>
  <c r="BS6" i="14"/>
  <c r="BS33" i="14" s="1"/>
  <c r="AZ6" i="14"/>
  <c r="AZ33" i="14" s="1"/>
  <c r="AO6" i="14"/>
  <c r="AO33" i="14" s="1"/>
  <c r="AL6" i="14"/>
  <c r="AL33" i="14" s="1"/>
  <c r="AD6" i="14"/>
  <c r="AD33" i="14" s="1"/>
  <c r="S6" i="14"/>
  <c r="S33" i="14" s="1"/>
  <c r="R6" i="14"/>
  <c r="R33" i="14" s="1"/>
  <c r="Q6" i="14"/>
  <c r="AM6" i="14" s="1"/>
  <c r="AM33" i="14" s="1"/>
  <c r="P6" i="14"/>
  <c r="P33" i="14" s="1"/>
  <c r="O6" i="14"/>
  <c r="Z6" i="14" s="1"/>
  <c r="Z33" i="14" s="1"/>
  <c r="BR5" i="14"/>
  <c r="BG5" i="14"/>
  <c r="AV5" i="14"/>
  <c r="AK5" i="14"/>
  <c r="Z5" i="14"/>
  <c r="O5" i="14"/>
  <c r="D5" i="14"/>
  <c r="D2" i="14"/>
  <c r="M35" i="13"/>
  <c r="L35" i="13"/>
  <c r="K35" i="13"/>
  <c r="J35" i="13"/>
  <c r="I35" i="13"/>
  <c r="H35" i="13"/>
  <c r="G35" i="13"/>
  <c r="F35" i="13"/>
  <c r="E35" i="13"/>
  <c r="D35" i="13"/>
  <c r="CA34" i="13"/>
  <c r="BZ34" i="13"/>
  <c r="BY34" i="13"/>
  <c r="BX34" i="13"/>
  <c r="BW34" i="13"/>
  <c r="BV34" i="13"/>
  <c r="BU34" i="13"/>
  <c r="BT34" i="13"/>
  <c r="BS34" i="13"/>
  <c r="BR34" i="13"/>
  <c r="BP34" i="13"/>
  <c r="BO34" i="13"/>
  <c r="BN34" i="13"/>
  <c r="BM34" i="13"/>
  <c r="BL34" i="13"/>
  <c r="BK34" i="13"/>
  <c r="BJ34" i="13"/>
  <c r="BI34" i="13"/>
  <c r="BH34" i="13"/>
  <c r="BG34" i="13"/>
  <c r="BE34" i="13"/>
  <c r="BD34" i="13"/>
  <c r="BC34" i="13"/>
  <c r="BB34" i="13"/>
  <c r="BA34" i="13"/>
  <c r="AZ34" i="13"/>
  <c r="AY34" i="13"/>
  <c r="AX34" i="13"/>
  <c r="AW34" i="13"/>
  <c r="AV34" i="13"/>
  <c r="AT34" i="13"/>
  <c r="AS34" i="13"/>
  <c r="AR34" i="13"/>
  <c r="AQ34" i="13"/>
  <c r="AP34" i="13"/>
  <c r="AO34" i="13"/>
  <c r="AN34" i="13"/>
  <c r="AM34" i="13"/>
  <c r="AL34" i="13"/>
  <c r="AK34" i="13"/>
  <c r="AI34" i="13"/>
  <c r="AH34" i="13"/>
  <c r="AG34" i="13"/>
  <c r="AF34" i="13"/>
  <c r="AE34" i="13"/>
  <c r="AD34" i="13"/>
  <c r="AC34" i="13"/>
  <c r="AB34" i="13"/>
  <c r="AA34" i="13"/>
  <c r="Z34" i="13"/>
  <c r="X34" i="13"/>
  <c r="W34" i="13"/>
  <c r="V34" i="13"/>
  <c r="U34" i="13"/>
  <c r="T34" i="13"/>
  <c r="S34" i="13"/>
  <c r="R34" i="13"/>
  <c r="Q34" i="13"/>
  <c r="P34" i="13"/>
  <c r="O34" i="13"/>
  <c r="M34" i="13"/>
  <c r="L34" i="13"/>
  <c r="K34" i="13"/>
  <c r="J34" i="13"/>
  <c r="I34" i="13"/>
  <c r="K44" i="13" s="1"/>
  <c r="H34" i="13"/>
  <c r="G34" i="13"/>
  <c r="F34" i="13"/>
  <c r="E34" i="13"/>
  <c r="D34" i="13"/>
  <c r="CA33" i="13"/>
  <c r="BZ33" i="13"/>
  <c r="BY33" i="13"/>
  <c r="BX33" i="13"/>
  <c r="BW33" i="13"/>
  <c r="BV33" i="13"/>
  <c r="BS33" i="13"/>
  <c r="BP33" i="13"/>
  <c r="BO33" i="13"/>
  <c r="BN33" i="13"/>
  <c r="BM33" i="13"/>
  <c r="BL33" i="13"/>
  <c r="BH33" i="13"/>
  <c r="BE33" i="13"/>
  <c r="BD33" i="13"/>
  <c r="BC33" i="13"/>
  <c r="BB33" i="13"/>
  <c r="BA33" i="13"/>
  <c r="AW33" i="13"/>
  <c r="AT33" i="13"/>
  <c r="AS33" i="13"/>
  <c r="AR33" i="13"/>
  <c r="AQ33" i="13"/>
  <c r="AP33" i="13"/>
  <c r="AI33" i="13"/>
  <c r="AH33" i="13"/>
  <c r="AG33" i="13"/>
  <c r="AF33" i="13"/>
  <c r="AE33" i="13"/>
  <c r="AA33" i="13"/>
  <c r="X33" i="13"/>
  <c r="W33" i="13"/>
  <c r="V33" i="13"/>
  <c r="U33" i="13"/>
  <c r="T33" i="13"/>
  <c r="M33" i="13"/>
  <c r="L33" i="13"/>
  <c r="K33" i="13"/>
  <c r="J33" i="13"/>
  <c r="I33" i="13"/>
  <c r="H33" i="13"/>
  <c r="G33" i="13"/>
  <c r="F33" i="13"/>
  <c r="E33" i="13"/>
  <c r="D33" i="13"/>
  <c r="BR32" i="13"/>
  <c r="BG32" i="13"/>
  <c r="AV32" i="13"/>
  <c r="AK32" i="13"/>
  <c r="Z32" i="13"/>
  <c r="O32" i="13"/>
  <c r="D32" i="13"/>
  <c r="BS6" i="13"/>
  <c r="AZ6" i="13"/>
  <c r="AZ33" i="13" s="1"/>
  <c r="AO6" i="13"/>
  <c r="AO33" i="13" s="1"/>
  <c r="AL6" i="13"/>
  <c r="AL33" i="13" s="1"/>
  <c r="AD6" i="13"/>
  <c r="AD33" i="13" s="1"/>
  <c r="S6" i="13"/>
  <c r="S33" i="13" s="1"/>
  <c r="R6" i="13"/>
  <c r="R33" i="13" s="1"/>
  <c r="Q6" i="13"/>
  <c r="AM6" i="13" s="1"/>
  <c r="AM33" i="13" s="1"/>
  <c r="P6" i="13"/>
  <c r="P33" i="13" s="1"/>
  <c r="O6" i="13"/>
  <c r="O33" i="13" s="1"/>
  <c r="BR5" i="13"/>
  <c r="BG5" i="13"/>
  <c r="AV5" i="13"/>
  <c r="AK5" i="13"/>
  <c r="Z5" i="13"/>
  <c r="O5" i="13"/>
  <c r="D5" i="13"/>
  <c r="D2" i="13"/>
  <c r="M35" i="12"/>
  <c r="L35" i="12"/>
  <c r="K35" i="12"/>
  <c r="J35" i="12"/>
  <c r="I35" i="12"/>
  <c r="H35" i="12"/>
  <c r="G35" i="12"/>
  <c r="F35" i="12"/>
  <c r="E35" i="12"/>
  <c r="D35" i="12"/>
  <c r="CA34" i="12"/>
  <c r="BZ34" i="12"/>
  <c r="BY34" i="12"/>
  <c r="BX34" i="12"/>
  <c r="BW34" i="12"/>
  <c r="BV34" i="12"/>
  <c r="BU34" i="12"/>
  <c r="BT34" i="12"/>
  <c r="BS34" i="12"/>
  <c r="BR34" i="12"/>
  <c r="BP34" i="12"/>
  <c r="BO34" i="12"/>
  <c r="BN34" i="12"/>
  <c r="BM34" i="12"/>
  <c r="BL34" i="12"/>
  <c r="BK34" i="12"/>
  <c r="BJ34" i="12"/>
  <c r="BI34" i="12"/>
  <c r="BH34" i="12"/>
  <c r="BG34" i="12"/>
  <c r="BE34" i="12"/>
  <c r="BD34" i="12"/>
  <c r="BC34" i="12"/>
  <c r="BB34" i="12"/>
  <c r="BA34" i="12"/>
  <c r="AZ34" i="12"/>
  <c r="AY34" i="12"/>
  <c r="AX34" i="12"/>
  <c r="AW34" i="12"/>
  <c r="AV34" i="12"/>
  <c r="AT34" i="12"/>
  <c r="AS34" i="12"/>
  <c r="AR34" i="12"/>
  <c r="AQ34" i="12"/>
  <c r="AP34" i="12"/>
  <c r="AO34" i="12"/>
  <c r="AN34" i="12"/>
  <c r="AM34" i="12"/>
  <c r="AL34" i="12"/>
  <c r="AK34" i="12"/>
  <c r="AI34" i="12"/>
  <c r="AH34" i="12"/>
  <c r="AG34" i="12"/>
  <c r="AF34" i="12"/>
  <c r="AE34" i="12"/>
  <c r="AD34" i="12"/>
  <c r="AC34" i="12"/>
  <c r="AB34" i="12"/>
  <c r="AA34" i="12"/>
  <c r="Z34" i="12"/>
  <c r="X34" i="12"/>
  <c r="W34" i="12"/>
  <c r="V34" i="12"/>
  <c r="U34" i="12"/>
  <c r="T34" i="12"/>
  <c r="S34" i="12"/>
  <c r="R34" i="12"/>
  <c r="Q34" i="12"/>
  <c r="P34" i="12"/>
  <c r="O34" i="12"/>
  <c r="M34" i="12"/>
  <c r="L34" i="12"/>
  <c r="K34" i="12"/>
  <c r="J34" i="12"/>
  <c r="I34" i="12"/>
  <c r="H34" i="12"/>
  <c r="G34" i="12"/>
  <c r="F34" i="12"/>
  <c r="E34" i="12"/>
  <c r="D34" i="12"/>
  <c r="CA33" i="12"/>
  <c r="BZ33" i="12"/>
  <c r="BY33" i="12"/>
  <c r="BX33" i="12"/>
  <c r="BW33" i="12"/>
  <c r="BV33" i="12"/>
  <c r="BP33" i="12"/>
  <c r="BO33" i="12"/>
  <c r="BN33" i="12"/>
  <c r="BM33" i="12"/>
  <c r="BL33" i="12"/>
  <c r="BH33" i="12"/>
  <c r="BE33" i="12"/>
  <c r="BD33" i="12"/>
  <c r="BC33" i="12"/>
  <c r="BB33" i="12"/>
  <c r="BA33" i="12"/>
  <c r="AW33" i="12"/>
  <c r="AT33" i="12"/>
  <c r="AS33" i="12"/>
  <c r="AR33" i="12"/>
  <c r="AQ33" i="12"/>
  <c r="AP33" i="12"/>
  <c r="AL33" i="12"/>
  <c r="AI33" i="12"/>
  <c r="AH33" i="12"/>
  <c r="AG33" i="12"/>
  <c r="AF33" i="12"/>
  <c r="AE33" i="12"/>
  <c r="AA33" i="12"/>
  <c r="X33" i="12"/>
  <c r="W33" i="12"/>
  <c r="V33" i="12"/>
  <c r="U33" i="12"/>
  <c r="T33" i="12"/>
  <c r="O33" i="12"/>
  <c r="M33" i="12"/>
  <c r="L33" i="12"/>
  <c r="K33" i="12"/>
  <c r="J33" i="12"/>
  <c r="I33" i="12"/>
  <c r="H33" i="12"/>
  <c r="G33" i="12"/>
  <c r="F33" i="12"/>
  <c r="E33" i="12"/>
  <c r="D33" i="12"/>
  <c r="BR32" i="12"/>
  <c r="BG32" i="12"/>
  <c r="AV32" i="12"/>
  <c r="AK32" i="12"/>
  <c r="Z32" i="12"/>
  <c r="O32" i="12"/>
  <c r="D32" i="12"/>
  <c r="BS6" i="12"/>
  <c r="BS33" i="12" s="1"/>
  <c r="AZ6" i="12"/>
  <c r="AZ33" i="12" s="1"/>
  <c r="AO6" i="12"/>
  <c r="AL6" i="12"/>
  <c r="AD6" i="12"/>
  <c r="AD33" i="12" s="1"/>
  <c r="S6" i="12"/>
  <c r="BK6" i="12" s="1"/>
  <c r="BK33" i="12" s="1"/>
  <c r="R6" i="12"/>
  <c r="AC6" i="12" s="1"/>
  <c r="Q6" i="12"/>
  <c r="Q33" i="12" s="1"/>
  <c r="P6" i="12"/>
  <c r="P33" i="12" s="1"/>
  <c r="O6" i="12"/>
  <c r="BR5" i="12"/>
  <c r="BG5" i="12"/>
  <c r="AV5" i="12"/>
  <c r="AK5" i="12"/>
  <c r="Z5" i="12"/>
  <c r="O5" i="12"/>
  <c r="D5" i="12"/>
  <c r="D2" i="12"/>
  <c r="K41" i="30" l="1"/>
  <c r="K39" i="30"/>
  <c r="Q33" i="30"/>
  <c r="AB6" i="30"/>
  <c r="AM6" i="30"/>
  <c r="AM33" i="30" s="1"/>
  <c r="Z6" i="30"/>
  <c r="O33" i="30"/>
  <c r="K40" i="28"/>
  <c r="K39" i="28"/>
  <c r="K41" i="28"/>
  <c r="Q33" i="28"/>
  <c r="AM6" i="28"/>
  <c r="AM33" i="28" s="1"/>
  <c r="AB6" i="28"/>
  <c r="O33" i="28"/>
  <c r="Z6" i="28"/>
  <c r="K47" i="27"/>
  <c r="K47" i="26"/>
  <c r="K42" i="26"/>
  <c r="K40" i="27"/>
  <c r="K39" i="27"/>
  <c r="K41" i="27"/>
  <c r="Q33" i="27"/>
  <c r="AM6" i="27"/>
  <c r="AM33" i="27" s="1"/>
  <c r="AB6" i="27"/>
  <c r="Z6" i="27"/>
  <c r="O33" i="27"/>
  <c r="K39" i="26"/>
  <c r="K41" i="26"/>
  <c r="K40" i="26"/>
  <c r="Q33" i="26"/>
  <c r="AM6" i="26"/>
  <c r="AM33" i="26" s="1"/>
  <c r="AB6" i="26"/>
  <c r="Z6" i="26"/>
  <c r="O33" i="26"/>
  <c r="K40" i="25"/>
  <c r="K41" i="25"/>
  <c r="K39" i="25"/>
  <c r="K42" i="25"/>
  <c r="K43" i="25"/>
  <c r="Z33" i="25"/>
  <c r="AK6" i="25"/>
  <c r="AB33" i="25"/>
  <c r="AX6" i="25"/>
  <c r="O33" i="25"/>
  <c r="AM6" i="25"/>
  <c r="AM33" i="25" s="1"/>
  <c r="Q33" i="25"/>
  <c r="K40" i="23"/>
  <c r="K41" i="23"/>
  <c r="K39" i="23"/>
  <c r="K42" i="23"/>
  <c r="K43" i="23"/>
  <c r="K46" i="23"/>
  <c r="AN6" i="23"/>
  <c r="AC33" i="23"/>
  <c r="AM6" i="23"/>
  <c r="AM33" i="23" s="1"/>
  <c r="AB6" i="23"/>
  <c r="AK6" i="23"/>
  <c r="Z33" i="23"/>
  <c r="K40" i="22"/>
  <c r="K41" i="22"/>
  <c r="K43" i="22"/>
  <c r="K39" i="22"/>
  <c r="K46" i="22"/>
  <c r="K42" i="22"/>
  <c r="BK6" i="22"/>
  <c r="BK33" i="22" s="1"/>
  <c r="S33" i="22"/>
  <c r="R33" i="22"/>
  <c r="AC6" i="22"/>
  <c r="Q33" i="22"/>
  <c r="AM6" i="22"/>
  <c r="AM33" i="22" s="1"/>
  <c r="AB6" i="22"/>
  <c r="O33" i="22"/>
  <c r="Z6" i="22"/>
  <c r="K47" i="21"/>
  <c r="K46" i="21"/>
  <c r="K45" i="21"/>
  <c r="K39" i="21"/>
  <c r="K44" i="21"/>
  <c r="K40" i="21"/>
  <c r="K42" i="21"/>
  <c r="K43" i="21"/>
  <c r="K41" i="21"/>
  <c r="S33" i="21"/>
  <c r="BK6" i="21"/>
  <c r="BK33" i="21" s="1"/>
  <c r="R33" i="21"/>
  <c r="AC6" i="21"/>
  <c r="Q33" i="21"/>
  <c r="AB6" i="21"/>
  <c r="AM6" i="21"/>
  <c r="AM33" i="21" s="1"/>
  <c r="O33" i="21"/>
  <c r="Z6" i="21"/>
  <c r="AK33" i="20"/>
  <c r="AV6" i="20"/>
  <c r="K41" i="20"/>
  <c r="K40" i="20"/>
  <c r="K43" i="20"/>
  <c r="K42" i="20"/>
  <c r="AV33" i="20"/>
  <c r="S33" i="20"/>
  <c r="BK6" i="20"/>
  <c r="BK33" i="20" s="1"/>
  <c r="R33" i="20"/>
  <c r="AC6" i="20"/>
  <c r="Q33" i="20"/>
  <c r="AM6" i="20"/>
  <c r="AM33" i="20" s="1"/>
  <c r="AB6" i="20"/>
  <c r="BS33" i="19"/>
  <c r="AD33" i="19"/>
  <c r="S33" i="19"/>
  <c r="R33" i="19"/>
  <c r="Q33" i="19"/>
  <c r="P33" i="19"/>
  <c r="O33" i="19"/>
  <c r="AC6" i="19"/>
  <c r="AM6" i="19"/>
  <c r="AM33" i="19" s="1"/>
  <c r="K43" i="19"/>
  <c r="K45" i="19"/>
  <c r="AZ33" i="19"/>
  <c r="AL33" i="19"/>
  <c r="AB6" i="19"/>
  <c r="K47" i="19"/>
  <c r="K46" i="19"/>
  <c r="K48" i="19"/>
  <c r="K44" i="19"/>
  <c r="K42" i="19"/>
  <c r="K41" i="19"/>
  <c r="K40" i="19"/>
  <c r="K39" i="19"/>
  <c r="AO33" i="19"/>
  <c r="BK6" i="19"/>
  <c r="BK33" i="19" s="1"/>
  <c r="Q33" i="18"/>
  <c r="AZ33" i="18"/>
  <c r="AO33" i="18"/>
  <c r="AD33" i="18"/>
  <c r="S33" i="18"/>
  <c r="R33" i="18"/>
  <c r="BS33" i="18"/>
  <c r="O33" i="18"/>
  <c r="K46" i="18"/>
  <c r="K45" i="18"/>
  <c r="K44" i="18"/>
  <c r="K43" i="18"/>
  <c r="K42" i="18"/>
  <c r="K41" i="18"/>
  <c r="K40" i="18"/>
  <c r="AL33" i="18"/>
  <c r="P33" i="18"/>
  <c r="K47" i="18"/>
  <c r="BK6" i="18"/>
  <c r="BK33" i="18" s="1"/>
  <c r="AM6" i="18"/>
  <c r="AM33" i="18" s="1"/>
  <c r="AC6" i="18"/>
  <c r="AB6" i="18"/>
  <c r="K39" i="18"/>
  <c r="K48" i="18"/>
  <c r="Z6" i="18"/>
  <c r="BK6" i="17"/>
  <c r="BK33" i="17" s="1"/>
  <c r="AM6" i="17"/>
  <c r="AM33" i="17" s="1"/>
  <c r="AC6" i="17"/>
  <c r="AB6" i="17"/>
  <c r="Z6" i="17"/>
  <c r="K43" i="17"/>
  <c r="AZ33" i="17"/>
  <c r="Q33" i="17"/>
  <c r="K47" i="17"/>
  <c r="BS33" i="17"/>
  <c r="K48" i="17"/>
  <c r="K45" i="17"/>
  <c r="K44" i="17"/>
  <c r="K42" i="17"/>
  <c r="K41" i="17"/>
  <c r="K40" i="17"/>
  <c r="K39" i="17"/>
  <c r="AO33" i="17"/>
  <c r="AL33" i="17"/>
  <c r="AD33" i="17"/>
  <c r="R33" i="17"/>
  <c r="O33" i="17"/>
  <c r="K46" i="17"/>
  <c r="S33" i="17"/>
  <c r="P33" i="17"/>
  <c r="AM6" i="16"/>
  <c r="AM33" i="16" s="1"/>
  <c r="AC6" i="16"/>
  <c r="AB6" i="16"/>
  <c r="Z6" i="16"/>
  <c r="AZ33" i="16"/>
  <c r="AO33" i="16"/>
  <c r="P33" i="16"/>
  <c r="AL33" i="16"/>
  <c r="Q33" i="16"/>
  <c r="O33" i="16"/>
  <c r="BK33" i="16"/>
  <c r="R33" i="16"/>
  <c r="K47" i="16"/>
  <c r="K39" i="16"/>
  <c r="BS33" i="16"/>
  <c r="K48" i="16"/>
  <c r="K46" i="16"/>
  <c r="K45" i="16"/>
  <c r="K44" i="16"/>
  <c r="K43" i="16"/>
  <c r="K42" i="16"/>
  <c r="K41" i="16"/>
  <c r="K40" i="16"/>
  <c r="AD33" i="16"/>
  <c r="S33" i="16"/>
  <c r="K46" i="15"/>
  <c r="K45" i="15"/>
  <c r="K48" i="15"/>
  <c r="K39" i="15"/>
  <c r="BS33" i="15"/>
  <c r="AO33" i="15"/>
  <c r="AL33" i="15"/>
  <c r="K46" i="14"/>
  <c r="R33" i="15"/>
  <c r="Q33" i="15"/>
  <c r="P33" i="15"/>
  <c r="AM6" i="15"/>
  <c r="AM33" i="15" s="1"/>
  <c r="AC6" i="15"/>
  <c r="Z6" i="15"/>
  <c r="AK6" i="15" s="1"/>
  <c r="K45" i="14"/>
  <c r="BK6" i="14"/>
  <c r="BK33" i="14" s="1"/>
  <c r="K45" i="13"/>
  <c r="Z6" i="13"/>
  <c r="AK6" i="13" s="1"/>
  <c r="AO33" i="12"/>
  <c r="Z6" i="12"/>
  <c r="AK6" i="12" s="1"/>
  <c r="K43" i="15"/>
  <c r="K44" i="15"/>
  <c r="K40" i="15"/>
  <c r="K42" i="15"/>
  <c r="K41" i="15"/>
  <c r="AB33" i="15"/>
  <c r="AX6" i="15"/>
  <c r="AN6" i="15"/>
  <c r="Z33" i="15"/>
  <c r="BK6" i="15"/>
  <c r="BK33" i="15" s="1"/>
  <c r="K45" i="12"/>
  <c r="AC6" i="14"/>
  <c r="AC33" i="14" s="1"/>
  <c r="O33" i="14"/>
  <c r="K46" i="12"/>
  <c r="K39" i="13"/>
  <c r="K48" i="14"/>
  <c r="K47" i="12"/>
  <c r="Q33" i="14"/>
  <c r="K48" i="12"/>
  <c r="K46" i="13"/>
  <c r="K39" i="14"/>
  <c r="K44" i="14"/>
  <c r="K47" i="13"/>
  <c r="K44" i="12"/>
  <c r="K47" i="14"/>
  <c r="K48" i="13"/>
  <c r="AB6" i="14"/>
  <c r="AB33" i="14" s="1"/>
  <c r="K43" i="14"/>
  <c r="K42" i="14"/>
  <c r="K41" i="14"/>
  <c r="K40" i="14"/>
  <c r="AN6" i="14"/>
  <c r="BJ6" i="14"/>
  <c r="AK6" i="14"/>
  <c r="K42" i="13"/>
  <c r="K43" i="13"/>
  <c r="K41" i="13"/>
  <c r="K40" i="13"/>
  <c r="AC6" i="13"/>
  <c r="AB6" i="13"/>
  <c r="BK6" i="13"/>
  <c r="BK33" i="13" s="1"/>
  <c r="Q33" i="13"/>
  <c r="K40" i="12"/>
  <c r="K39" i="12"/>
  <c r="K42" i="12"/>
  <c r="K41" i="12"/>
  <c r="K43" i="12"/>
  <c r="AV6" i="12"/>
  <c r="AK33" i="12"/>
  <c r="AN6" i="12"/>
  <c r="AC33" i="12"/>
  <c r="BJ6" i="12"/>
  <c r="R33" i="12"/>
  <c r="AB6" i="12"/>
  <c r="AM6" i="12"/>
  <c r="AM33" i="12" s="1"/>
  <c r="S33" i="12"/>
  <c r="Z33" i="12"/>
  <c r="AX6" i="30" l="1"/>
  <c r="AB33" i="30"/>
  <c r="Z33" i="30"/>
  <c r="AK6" i="30"/>
  <c r="AX6" i="28"/>
  <c r="AB33" i="28"/>
  <c r="AK6" i="28"/>
  <c r="Z33" i="28"/>
  <c r="AX6" i="27"/>
  <c r="AB33" i="27"/>
  <c r="AK6" i="27"/>
  <c r="Z33" i="27"/>
  <c r="AX6" i="26"/>
  <c r="AB33" i="26"/>
  <c r="AK6" i="26"/>
  <c r="Z33" i="26"/>
  <c r="AC33" i="25"/>
  <c r="BT6" i="25"/>
  <c r="BT33" i="25" s="1"/>
  <c r="BI6" i="25"/>
  <c r="BI33" i="25" s="1"/>
  <c r="AX33" i="25"/>
  <c r="AV6" i="25"/>
  <c r="AK33" i="25"/>
  <c r="AY6" i="23"/>
  <c r="AY33" i="23" s="1"/>
  <c r="AN33" i="23"/>
  <c r="BU33" i="23"/>
  <c r="BJ33" i="23"/>
  <c r="AX6" i="23"/>
  <c r="AB33" i="23"/>
  <c r="AV6" i="23"/>
  <c r="AK33" i="23"/>
  <c r="AN6" i="22"/>
  <c r="BJ6" i="22"/>
  <c r="AC33" i="22"/>
  <c r="AX6" i="22"/>
  <c r="AB33" i="22"/>
  <c r="Z33" i="22"/>
  <c r="AK6" i="22"/>
  <c r="AC33" i="21"/>
  <c r="AN6" i="21"/>
  <c r="BJ6" i="21"/>
  <c r="AX6" i="21"/>
  <c r="AB33" i="21"/>
  <c r="AK6" i="21"/>
  <c r="Z33" i="21"/>
  <c r="BG6" i="20"/>
  <c r="BG33" i="20" s="1"/>
  <c r="BR6" i="20"/>
  <c r="BR33" i="20" s="1"/>
  <c r="AN6" i="20"/>
  <c r="BJ6" i="20"/>
  <c r="AC33" i="20"/>
  <c r="AX6" i="20"/>
  <c r="AB33" i="20"/>
  <c r="BJ6" i="19"/>
  <c r="AC33" i="19"/>
  <c r="AN6" i="19"/>
  <c r="AB33" i="19"/>
  <c r="AX6" i="19"/>
  <c r="AK6" i="19"/>
  <c r="Z33" i="19"/>
  <c r="AN6" i="18"/>
  <c r="BJ6" i="18"/>
  <c r="AC33" i="18"/>
  <c r="AX6" i="18"/>
  <c r="AB33" i="18"/>
  <c r="AK6" i="18"/>
  <c r="Z33" i="18"/>
  <c r="AN6" i="17"/>
  <c r="BJ6" i="17"/>
  <c r="AC33" i="17"/>
  <c r="AX6" i="17"/>
  <c r="AB33" i="17"/>
  <c r="AK6" i="17"/>
  <c r="Z33" i="17"/>
  <c r="AN6" i="16"/>
  <c r="BJ6" i="16"/>
  <c r="AC33" i="16"/>
  <c r="AX6" i="16"/>
  <c r="AB33" i="16"/>
  <c r="AK6" i="16"/>
  <c r="Z33" i="16"/>
  <c r="BJ6" i="15"/>
  <c r="AC33" i="15"/>
  <c r="AK33" i="15"/>
  <c r="AV6" i="15"/>
  <c r="AX6" i="14"/>
  <c r="AK33" i="13"/>
  <c r="AV6" i="13"/>
  <c r="Z33" i="13"/>
  <c r="AN33" i="15"/>
  <c r="AY6" i="15"/>
  <c r="AY33" i="15" s="1"/>
  <c r="BI6" i="15"/>
  <c r="BI33" i="15" s="1"/>
  <c r="AX33" i="15"/>
  <c r="BT6" i="15"/>
  <c r="BT33" i="15" s="1"/>
  <c r="BG6" i="15"/>
  <c r="BG33" i="15" s="1"/>
  <c r="BR6" i="15"/>
  <c r="BR33" i="15" s="1"/>
  <c r="AV33" i="15"/>
  <c r="AX33" i="14"/>
  <c r="BI6" i="14"/>
  <c r="BI33" i="14" s="1"/>
  <c r="BT6" i="14"/>
  <c r="BT33" i="14" s="1"/>
  <c r="AK33" i="14"/>
  <c r="AV6" i="14"/>
  <c r="AY6" i="14"/>
  <c r="AY33" i="14" s="1"/>
  <c r="AN33" i="14"/>
  <c r="BJ33" i="14"/>
  <c r="BU6" i="14"/>
  <c r="BU33" i="14" s="1"/>
  <c r="AN6" i="13"/>
  <c r="BJ6" i="13"/>
  <c r="AC33" i="13"/>
  <c r="AB33" i="13"/>
  <c r="AX6" i="13"/>
  <c r="BR6" i="12"/>
  <c r="BR33" i="12" s="1"/>
  <c r="BG6" i="12"/>
  <c r="BG33" i="12" s="1"/>
  <c r="AV33" i="12"/>
  <c r="AN33" i="12"/>
  <c r="AY6" i="12"/>
  <c r="AY33" i="12" s="1"/>
  <c r="AB33" i="12"/>
  <c r="AX6" i="12"/>
  <c r="BJ33" i="12"/>
  <c r="BU6" i="12"/>
  <c r="BU33" i="12" s="1"/>
  <c r="BI6" i="30" l="1"/>
  <c r="BI33" i="30" s="1"/>
  <c r="BT6" i="30"/>
  <c r="BT33" i="30" s="1"/>
  <c r="AX33" i="30"/>
  <c r="AK33" i="30"/>
  <c r="AV6" i="30"/>
  <c r="BI6" i="28"/>
  <c r="BI33" i="28" s="1"/>
  <c r="BT6" i="28"/>
  <c r="BT33" i="28" s="1"/>
  <c r="AX33" i="28"/>
  <c r="AV6" i="28"/>
  <c r="AK33" i="28"/>
  <c r="BI6" i="27"/>
  <c r="BI33" i="27" s="1"/>
  <c r="BT6" i="27"/>
  <c r="BT33" i="27" s="1"/>
  <c r="AX33" i="27"/>
  <c r="AV6" i="27"/>
  <c r="AK33" i="27"/>
  <c r="BI6" i="26"/>
  <c r="BI33" i="26" s="1"/>
  <c r="BT6" i="26"/>
  <c r="BT33" i="26" s="1"/>
  <c r="AX33" i="26"/>
  <c r="AV6" i="26"/>
  <c r="AK33" i="26"/>
  <c r="BR6" i="25"/>
  <c r="BR33" i="25" s="1"/>
  <c r="BG6" i="25"/>
  <c r="BG33" i="25" s="1"/>
  <c r="AV33" i="25"/>
  <c r="AN33" i="25"/>
  <c r="AY33" i="25"/>
  <c r="BI6" i="23"/>
  <c r="BI33" i="23" s="1"/>
  <c r="BT6" i="23"/>
  <c r="BT33" i="23" s="1"/>
  <c r="AX33" i="23"/>
  <c r="BG6" i="23"/>
  <c r="BG33" i="23" s="1"/>
  <c r="BR6" i="23"/>
  <c r="BR33" i="23" s="1"/>
  <c r="AV33" i="23"/>
  <c r="AN33" i="22"/>
  <c r="AY6" i="22"/>
  <c r="AY33" i="22" s="1"/>
  <c r="BU6" i="22"/>
  <c r="BU33" i="22" s="1"/>
  <c r="BJ33" i="22"/>
  <c r="BI6" i="22"/>
  <c r="BI33" i="22" s="1"/>
  <c r="AX33" i="22"/>
  <c r="BT6" i="22"/>
  <c r="BT33" i="22" s="1"/>
  <c r="AV6" i="22"/>
  <c r="AK33" i="22"/>
  <c r="AY6" i="21"/>
  <c r="AY33" i="21" s="1"/>
  <c r="AN33" i="21"/>
  <c r="BJ33" i="21"/>
  <c r="BU6" i="21"/>
  <c r="BU33" i="21" s="1"/>
  <c r="BT6" i="21"/>
  <c r="BT33" i="21" s="1"/>
  <c r="BI6" i="21"/>
  <c r="BI33" i="21" s="1"/>
  <c r="AX33" i="21"/>
  <c r="AV6" i="21"/>
  <c r="AK33" i="21"/>
  <c r="AY6" i="20"/>
  <c r="AY33" i="20" s="1"/>
  <c r="AN33" i="20"/>
  <c r="BU6" i="20"/>
  <c r="BU33" i="20" s="1"/>
  <c r="BJ33" i="20"/>
  <c r="BI6" i="20"/>
  <c r="BI33" i="20" s="1"/>
  <c r="BT6" i="20"/>
  <c r="BT33" i="20" s="1"/>
  <c r="AX33" i="20"/>
  <c r="BU6" i="19"/>
  <c r="BU33" i="19" s="1"/>
  <c r="BJ33" i="19"/>
  <c r="AN33" i="19"/>
  <c r="AY6" i="19"/>
  <c r="AY33" i="19" s="1"/>
  <c r="AX33" i="19"/>
  <c r="BT6" i="19"/>
  <c r="BT33" i="19" s="1"/>
  <c r="BI6" i="19"/>
  <c r="BI33" i="19" s="1"/>
  <c r="AV6" i="19"/>
  <c r="AK33" i="19"/>
  <c r="AY6" i="18"/>
  <c r="AY33" i="18" s="1"/>
  <c r="AN33" i="18"/>
  <c r="BU6" i="18"/>
  <c r="BU33" i="18" s="1"/>
  <c r="BJ33" i="18"/>
  <c r="BI6" i="18"/>
  <c r="BI33" i="18" s="1"/>
  <c r="BT6" i="18"/>
  <c r="BT33" i="18" s="1"/>
  <c r="AX33" i="18"/>
  <c r="AV6" i="18"/>
  <c r="AK33" i="18"/>
  <c r="AY6" i="17"/>
  <c r="AY33" i="17" s="1"/>
  <c r="AN33" i="17"/>
  <c r="BU6" i="17"/>
  <c r="BU33" i="17" s="1"/>
  <c r="BJ33" i="17"/>
  <c r="BI6" i="17"/>
  <c r="BI33" i="17" s="1"/>
  <c r="BT6" i="17"/>
  <c r="BT33" i="17" s="1"/>
  <c r="AX33" i="17"/>
  <c r="AV6" i="17"/>
  <c r="AK33" i="17"/>
  <c r="AY6" i="16"/>
  <c r="AY33" i="16" s="1"/>
  <c r="AN33" i="16"/>
  <c r="BU6" i="16"/>
  <c r="BU33" i="16" s="1"/>
  <c r="BJ33" i="16"/>
  <c r="BI6" i="16"/>
  <c r="BI33" i="16" s="1"/>
  <c r="AX33" i="16"/>
  <c r="BT6" i="16"/>
  <c r="BT33" i="16" s="1"/>
  <c r="AV6" i="16"/>
  <c r="AK33" i="16"/>
  <c r="BU6" i="15"/>
  <c r="BU33" i="15" s="1"/>
  <c r="BJ33" i="15"/>
  <c r="BG6" i="13"/>
  <c r="BG33" i="13" s="1"/>
  <c r="BR6" i="13"/>
  <c r="BR33" i="13" s="1"/>
  <c r="AV33" i="13"/>
  <c r="BG6" i="14"/>
  <c r="BG33" i="14" s="1"/>
  <c r="BR6" i="14"/>
  <c r="BR33" i="14" s="1"/>
  <c r="AV33" i="14"/>
  <c r="AY6" i="13"/>
  <c r="AY33" i="13" s="1"/>
  <c r="AN33" i="13"/>
  <c r="BT6" i="13"/>
  <c r="BT33" i="13" s="1"/>
  <c r="AX33" i="13"/>
  <c r="BI6" i="13"/>
  <c r="BI33" i="13" s="1"/>
  <c r="BJ33" i="13"/>
  <c r="BU6" i="13"/>
  <c r="BU33" i="13" s="1"/>
  <c r="BT6" i="12"/>
  <c r="BT33" i="12" s="1"/>
  <c r="AX33" i="12"/>
  <c r="BI6" i="12"/>
  <c r="BI33" i="12" s="1"/>
  <c r="BG6" i="30" l="1"/>
  <c r="BG33" i="30" s="1"/>
  <c r="BR6" i="30"/>
  <c r="BR33" i="30" s="1"/>
  <c r="AV33" i="30"/>
  <c r="BG6" i="28"/>
  <c r="BG33" i="28" s="1"/>
  <c r="BR6" i="28"/>
  <c r="BR33" i="28" s="1"/>
  <c r="AV33" i="28"/>
  <c r="BG6" i="27"/>
  <c r="BG33" i="27" s="1"/>
  <c r="BR6" i="27"/>
  <c r="BR33" i="27" s="1"/>
  <c r="AV33" i="27"/>
  <c r="BG6" i="26"/>
  <c r="BG33" i="26" s="1"/>
  <c r="BR6" i="26"/>
  <c r="BR33" i="26" s="1"/>
  <c r="AV33" i="26"/>
  <c r="AV33" i="22"/>
  <c r="BG6" i="22"/>
  <c r="BG33" i="22" s="1"/>
  <c r="BR6" i="22"/>
  <c r="BR33" i="22" s="1"/>
  <c r="BG6" i="21"/>
  <c r="BG33" i="21" s="1"/>
  <c r="AV33" i="21"/>
  <c r="BR6" i="21"/>
  <c r="BR33" i="21" s="1"/>
  <c r="AV33" i="19"/>
  <c r="BG6" i="19"/>
  <c r="BG33" i="19" s="1"/>
  <c r="BR6" i="19"/>
  <c r="BR33" i="19" s="1"/>
  <c r="BG6" i="18"/>
  <c r="BG33" i="18" s="1"/>
  <c r="BR6" i="18"/>
  <c r="BR33" i="18" s="1"/>
  <c r="AV33" i="18"/>
  <c r="BG6" i="17"/>
  <c r="BG33" i="17" s="1"/>
  <c r="BR6" i="17"/>
  <c r="BR33" i="17" s="1"/>
  <c r="AV33" i="17"/>
  <c r="BG6" i="16"/>
  <c r="BG33" i="16" s="1"/>
  <c r="BR6" i="16"/>
  <c r="BR33" i="16" s="1"/>
  <c r="AV33" i="16"/>
  <c r="M35" i="11"/>
  <c r="L35" i="11"/>
  <c r="K35" i="11"/>
  <c r="J35" i="11"/>
  <c r="I35" i="11"/>
  <c r="H35" i="11"/>
  <c r="G35" i="11"/>
  <c r="F35" i="11"/>
  <c r="E35" i="11"/>
  <c r="D35" i="11"/>
  <c r="CA34" i="11"/>
  <c r="BZ34" i="11"/>
  <c r="BY34" i="11"/>
  <c r="BX34" i="11"/>
  <c r="BW34" i="11"/>
  <c r="BV34" i="11"/>
  <c r="BU34" i="11"/>
  <c r="BT34" i="11"/>
  <c r="BS34" i="11"/>
  <c r="BR34" i="11"/>
  <c r="BP34" i="11"/>
  <c r="BO34" i="11"/>
  <c r="BN34" i="11"/>
  <c r="BM34" i="11"/>
  <c r="BL34" i="11"/>
  <c r="BK34" i="11"/>
  <c r="BJ34" i="11"/>
  <c r="BI34" i="11"/>
  <c r="BH34" i="11"/>
  <c r="BG34" i="11"/>
  <c r="BE34" i="11"/>
  <c r="BD34" i="11"/>
  <c r="BC34" i="11"/>
  <c r="BB34" i="11"/>
  <c r="BA34" i="11"/>
  <c r="AZ34" i="11"/>
  <c r="AY34" i="11"/>
  <c r="AX34" i="11"/>
  <c r="AW34" i="11"/>
  <c r="AV34" i="11"/>
  <c r="AT34" i="11"/>
  <c r="AS34" i="11"/>
  <c r="AR34" i="11"/>
  <c r="AQ34" i="11"/>
  <c r="AP34" i="11"/>
  <c r="AO34" i="11"/>
  <c r="AN34" i="11"/>
  <c r="AM34" i="11"/>
  <c r="AL34" i="11"/>
  <c r="AK34" i="11"/>
  <c r="AI34" i="11"/>
  <c r="AH34" i="11"/>
  <c r="AG34" i="11"/>
  <c r="AF34" i="11"/>
  <c r="AE34" i="11"/>
  <c r="AD34" i="11"/>
  <c r="AC34" i="11"/>
  <c r="AB34" i="11"/>
  <c r="AA34" i="11"/>
  <c r="Z34" i="11"/>
  <c r="X34" i="11"/>
  <c r="W34" i="11"/>
  <c r="V34" i="11"/>
  <c r="U34" i="11"/>
  <c r="T34" i="11"/>
  <c r="S34" i="11"/>
  <c r="R34" i="11"/>
  <c r="Q34" i="11"/>
  <c r="P34" i="11"/>
  <c r="O34" i="11"/>
  <c r="M34" i="11"/>
  <c r="L34" i="11"/>
  <c r="K34" i="11"/>
  <c r="J34" i="11"/>
  <c r="I34" i="11"/>
  <c r="H34" i="11"/>
  <c r="G34" i="11"/>
  <c r="F34" i="11"/>
  <c r="E34" i="11"/>
  <c r="D34" i="11"/>
  <c r="CA33" i="11"/>
  <c r="BZ33" i="11"/>
  <c r="BY33" i="11"/>
  <c r="BX33" i="11"/>
  <c r="BW33" i="11"/>
  <c r="BV33" i="11"/>
  <c r="BP33" i="11"/>
  <c r="BO33" i="11"/>
  <c r="BN33" i="11"/>
  <c r="BM33" i="11"/>
  <c r="BL33" i="11"/>
  <c r="BH33" i="11"/>
  <c r="BE33" i="11"/>
  <c r="BD33" i="11"/>
  <c r="BC33" i="11"/>
  <c r="BB33" i="11"/>
  <c r="BA33" i="11"/>
  <c r="AW33" i="11"/>
  <c r="AT33" i="11"/>
  <c r="AS33" i="11"/>
  <c r="AR33" i="11"/>
  <c r="AQ33" i="11"/>
  <c r="AP33" i="11"/>
  <c r="AI33" i="11"/>
  <c r="AH33" i="11"/>
  <c r="AG33" i="11"/>
  <c r="AF33" i="11"/>
  <c r="AE33" i="11"/>
  <c r="AA33" i="11"/>
  <c r="X33" i="11"/>
  <c r="W33" i="11"/>
  <c r="V33" i="11"/>
  <c r="U33" i="11"/>
  <c r="T33" i="11"/>
  <c r="M33" i="11"/>
  <c r="L33" i="11"/>
  <c r="K33" i="11"/>
  <c r="J33" i="11"/>
  <c r="I33" i="11"/>
  <c r="H33" i="11"/>
  <c r="G33" i="11"/>
  <c r="F33" i="11"/>
  <c r="E33" i="11"/>
  <c r="D33" i="11"/>
  <c r="BR32" i="11"/>
  <c r="BG32" i="11"/>
  <c r="AV32" i="11"/>
  <c r="AK32" i="11"/>
  <c r="Z32" i="11"/>
  <c r="O32" i="11"/>
  <c r="D32" i="11"/>
  <c r="BS6" i="11"/>
  <c r="BS33" i="11" s="1"/>
  <c r="AZ6" i="11"/>
  <c r="AZ33" i="11" s="1"/>
  <c r="AO6" i="11"/>
  <c r="AO33" i="11" s="1"/>
  <c r="AL6" i="11"/>
  <c r="AL33" i="11" s="1"/>
  <c r="AD6" i="11"/>
  <c r="AD33" i="11" s="1"/>
  <c r="S6" i="11"/>
  <c r="S33" i="11" s="1"/>
  <c r="R6" i="11"/>
  <c r="R33" i="11" s="1"/>
  <c r="Q6" i="11"/>
  <c r="AM6" i="11" s="1"/>
  <c r="AM33" i="11" s="1"/>
  <c r="P6" i="11"/>
  <c r="O6" i="11"/>
  <c r="BR5" i="11"/>
  <c r="BG5" i="11"/>
  <c r="AV5" i="11"/>
  <c r="AK5" i="11"/>
  <c r="Z5" i="11"/>
  <c r="O5" i="11"/>
  <c r="D5" i="11"/>
  <c r="D2" i="11"/>
  <c r="M35" i="10"/>
  <c r="L35" i="10"/>
  <c r="K35" i="10"/>
  <c r="J35" i="10"/>
  <c r="I35" i="10"/>
  <c r="H35" i="10"/>
  <c r="G35" i="10"/>
  <c r="F35" i="10"/>
  <c r="E35" i="10"/>
  <c r="D35" i="10"/>
  <c r="CA34" i="10"/>
  <c r="BZ34" i="10"/>
  <c r="BY34" i="10"/>
  <c r="BX34" i="10"/>
  <c r="BW34" i="10"/>
  <c r="BV34" i="10"/>
  <c r="BU34" i="10"/>
  <c r="BT34" i="10"/>
  <c r="BS34" i="10"/>
  <c r="BR34" i="10"/>
  <c r="BP34" i="10"/>
  <c r="BO34" i="10"/>
  <c r="BN34" i="10"/>
  <c r="BM34" i="10"/>
  <c r="BL34" i="10"/>
  <c r="BK34" i="10"/>
  <c r="BJ34" i="10"/>
  <c r="BI34" i="10"/>
  <c r="BH34" i="10"/>
  <c r="BG34" i="10"/>
  <c r="BE34" i="10"/>
  <c r="BD34" i="10"/>
  <c r="BC34" i="10"/>
  <c r="BB34" i="10"/>
  <c r="BA34" i="10"/>
  <c r="AZ34" i="10"/>
  <c r="AY34" i="10"/>
  <c r="AX34" i="10"/>
  <c r="AW34" i="10"/>
  <c r="AV34" i="10"/>
  <c r="AT34" i="10"/>
  <c r="AS34" i="10"/>
  <c r="AR34" i="10"/>
  <c r="AQ34" i="10"/>
  <c r="AP34" i="10"/>
  <c r="AO34" i="10"/>
  <c r="AN34" i="10"/>
  <c r="AM34" i="10"/>
  <c r="AL34" i="10"/>
  <c r="AK34" i="10"/>
  <c r="AI34" i="10"/>
  <c r="AH34" i="10"/>
  <c r="AG34" i="10"/>
  <c r="AF34" i="10"/>
  <c r="AE34" i="10"/>
  <c r="AD34" i="10"/>
  <c r="AC34" i="10"/>
  <c r="AB34" i="10"/>
  <c r="AA34" i="10"/>
  <c r="Z34" i="10"/>
  <c r="X34" i="10"/>
  <c r="W34" i="10"/>
  <c r="V34" i="10"/>
  <c r="U34" i="10"/>
  <c r="T34" i="10"/>
  <c r="S34" i="10"/>
  <c r="R34" i="10"/>
  <c r="Q34" i="10"/>
  <c r="P34" i="10"/>
  <c r="O34" i="10"/>
  <c r="M34" i="10"/>
  <c r="L34" i="10"/>
  <c r="K34" i="10"/>
  <c r="J34" i="10"/>
  <c r="I34" i="10"/>
  <c r="H34" i="10"/>
  <c r="G34" i="10"/>
  <c r="F34" i="10"/>
  <c r="E34" i="10"/>
  <c r="D34" i="10"/>
  <c r="CA33" i="10"/>
  <c r="BZ33" i="10"/>
  <c r="BY33" i="10"/>
  <c r="BX33" i="10"/>
  <c r="BW33" i="10"/>
  <c r="BV33" i="10"/>
  <c r="BP33" i="10"/>
  <c r="BO33" i="10"/>
  <c r="BN33" i="10"/>
  <c r="BM33" i="10"/>
  <c r="BL33" i="10"/>
  <c r="BH33" i="10"/>
  <c r="BE33" i="10"/>
  <c r="BD33" i="10"/>
  <c r="BC33" i="10"/>
  <c r="BB33" i="10"/>
  <c r="BA33" i="10"/>
  <c r="AW33" i="10"/>
  <c r="AT33" i="10"/>
  <c r="AS33" i="10"/>
  <c r="AR33" i="10"/>
  <c r="AQ33" i="10"/>
  <c r="AP33" i="10"/>
  <c r="AI33" i="10"/>
  <c r="AH33" i="10"/>
  <c r="AG33" i="10"/>
  <c r="AF33" i="10"/>
  <c r="AE33" i="10"/>
  <c r="AA33" i="10"/>
  <c r="X33" i="10"/>
  <c r="W33" i="10"/>
  <c r="V33" i="10"/>
  <c r="U33" i="10"/>
  <c r="T33" i="10"/>
  <c r="M33" i="10"/>
  <c r="L33" i="10"/>
  <c r="K33" i="10"/>
  <c r="J33" i="10"/>
  <c r="I33" i="10"/>
  <c r="H33" i="10"/>
  <c r="G33" i="10"/>
  <c r="F33" i="10"/>
  <c r="E33" i="10"/>
  <c r="D33" i="10"/>
  <c r="BR32" i="10"/>
  <c r="BG32" i="10"/>
  <c r="AV32" i="10"/>
  <c r="AK32" i="10"/>
  <c r="Z32" i="10"/>
  <c r="O32" i="10"/>
  <c r="D32" i="10"/>
  <c r="BS6" i="10"/>
  <c r="BS33" i="10" s="1"/>
  <c r="AZ6" i="10"/>
  <c r="AZ33" i="10" s="1"/>
  <c r="AO6" i="10"/>
  <c r="AO33" i="10" s="1"/>
  <c r="AL6" i="10"/>
  <c r="AD6" i="10"/>
  <c r="AD33" i="10" s="1"/>
  <c r="S6" i="10"/>
  <c r="S33" i="10" s="1"/>
  <c r="R6" i="10"/>
  <c r="R33" i="10" s="1"/>
  <c r="Q6" i="10"/>
  <c r="AM6" i="10" s="1"/>
  <c r="AM33" i="10" s="1"/>
  <c r="P6" i="10"/>
  <c r="P33" i="10" s="1"/>
  <c r="O6" i="10"/>
  <c r="O33" i="10" s="1"/>
  <c r="BR5" i="10"/>
  <c r="BG5" i="10"/>
  <c r="AV5" i="10"/>
  <c r="AK5" i="10"/>
  <c r="Z5" i="10"/>
  <c r="O5" i="10"/>
  <c r="D5" i="10"/>
  <c r="D2" i="10"/>
  <c r="M35" i="9"/>
  <c r="L35" i="9"/>
  <c r="K35" i="9"/>
  <c r="J35" i="9"/>
  <c r="I35" i="9"/>
  <c r="H35" i="9"/>
  <c r="G35" i="9"/>
  <c r="F35" i="9"/>
  <c r="E35" i="9"/>
  <c r="D35" i="9"/>
  <c r="CA34" i="9"/>
  <c r="BZ34" i="9"/>
  <c r="BY34" i="9"/>
  <c r="BX34" i="9"/>
  <c r="BW34" i="9"/>
  <c r="BV34" i="9"/>
  <c r="BU34" i="9"/>
  <c r="BT34" i="9"/>
  <c r="BS34" i="9"/>
  <c r="BR34" i="9"/>
  <c r="BP34" i="9"/>
  <c r="BO34" i="9"/>
  <c r="BN34" i="9"/>
  <c r="BM34" i="9"/>
  <c r="BL34" i="9"/>
  <c r="BK34" i="9"/>
  <c r="BJ34" i="9"/>
  <c r="BI34" i="9"/>
  <c r="BH34" i="9"/>
  <c r="BG34" i="9"/>
  <c r="BE34" i="9"/>
  <c r="BD34" i="9"/>
  <c r="BC34" i="9"/>
  <c r="BB34" i="9"/>
  <c r="BA34" i="9"/>
  <c r="AZ34" i="9"/>
  <c r="AY34" i="9"/>
  <c r="AX34" i="9"/>
  <c r="AW34" i="9"/>
  <c r="AV34" i="9"/>
  <c r="AT34" i="9"/>
  <c r="AS34" i="9"/>
  <c r="AR34" i="9"/>
  <c r="AQ34" i="9"/>
  <c r="AP34" i="9"/>
  <c r="AO34" i="9"/>
  <c r="AN34" i="9"/>
  <c r="AM34" i="9"/>
  <c r="AL34" i="9"/>
  <c r="AK34" i="9"/>
  <c r="AI34" i="9"/>
  <c r="AH34" i="9"/>
  <c r="AG34" i="9"/>
  <c r="AF34" i="9"/>
  <c r="AE34" i="9"/>
  <c r="AD34" i="9"/>
  <c r="AC34" i="9"/>
  <c r="AB34" i="9"/>
  <c r="AA34" i="9"/>
  <c r="Z34" i="9"/>
  <c r="X34" i="9"/>
  <c r="W34" i="9"/>
  <c r="V34" i="9"/>
  <c r="U34" i="9"/>
  <c r="T34" i="9"/>
  <c r="S34" i="9"/>
  <c r="R34" i="9"/>
  <c r="Q34" i="9"/>
  <c r="P34" i="9"/>
  <c r="O34" i="9"/>
  <c r="M34" i="9"/>
  <c r="L34" i="9"/>
  <c r="K34" i="9"/>
  <c r="J34" i="9"/>
  <c r="I34" i="9"/>
  <c r="H34" i="9"/>
  <c r="G34" i="9"/>
  <c r="F34" i="9"/>
  <c r="E34" i="9"/>
  <c r="D34" i="9"/>
  <c r="CA33" i="9"/>
  <c r="BZ33" i="9"/>
  <c r="BY33" i="9"/>
  <c r="BX33" i="9"/>
  <c r="BW33" i="9"/>
  <c r="BV33" i="9"/>
  <c r="BS33" i="9"/>
  <c r="BP33" i="9"/>
  <c r="BO33" i="9"/>
  <c r="BN33" i="9"/>
  <c r="BM33" i="9"/>
  <c r="BL33" i="9"/>
  <c r="BH33" i="9"/>
  <c r="BE33" i="9"/>
  <c r="BD33" i="9"/>
  <c r="BC33" i="9"/>
  <c r="BB33" i="9"/>
  <c r="BA33" i="9"/>
  <c r="AW33" i="9"/>
  <c r="AT33" i="9"/>
  <c r="AS33" i="9"/>
  <c r="AR33" i="9"/>
  <c r="AQ33" i="9"/>
  <c r="AP33" i="9"/>
  <c r="AO33" i="9"/>
  <c r="AI33" i="9"/>
  <c r="AH33" i="9"/>
  <c r="AG33" i="9"/>
  <c r="AF33" i="9"/>
  <c r="AE33" i="9"/>
  <c r="AA33" i="9"/>
  <c r="X33" i="9"/>
  <c r="W33" i="9"/>
  <c r="V33" i="9"/>
  <c r="U33" i="9"/>
  <c r="T33" i="9"/>
  <c r="M33" i="9"/>
  <c r="L33" i="9"/>
  <c r="K33" i="9"/>
  <c r="J33" i="9"/>
  <c r="I33" i="9"/>
  <c r="H33" i="9"/>
  <c r="G33" i="9"/>
  <c r="F33" i="9"/>
  <c r="E33" i="9"/>
  <c r="D33" i="9"/>
  <c r="BR32" i="9"/>
  <c r="BG32" i="9"/>
  <c r="AV32" i="9"/>
  <c r="AK32" i="9"/>
  <c r="Z32" i="9"/>
  <c r="O32" i="9"/>
  <c r="D32" i="9"/>
  <c r="BS6" i="9"/>
  <c r="AZ6" i="9"/>
  <c r="AZ33" i="9" s="1"/>
  <c r="AO6" i="9"/>
  <c r="AL6" i="9"/>
  <c r="AL33" i="9" s="1"/>
  <c r="AD6" i="9"/>
  <c r="AD33" i="9" s="1"/>
  <c r="S6" i="9"/>
  <c r="BK6" i="9" s="1"/>
  <c r="BK33" i="9" s="1"/>
  <c r="R6" i="9"/>
  <c r="AC6" i="9" s="1"/>
  <c r="Q6" i="9"/>
  <c r="Q33" i="9" s="1"/>
  <c r="P6" i="9"/>
  <c r="P33" i="9" s="1"/>
  <c r="O6" i="9"/>
  <c r="O33" i="9" s="1"/>
  <c r="BR5" i="9"/>
  <c r="BG5" i="9"/>
  <c r="AV5" i="9"/>
  <c r="AK5" i="9"/>
  <c r="Z5" i="9"/>
  <c r="O5" i="9"/>
  <c r="D5" i="9"/>
  <c r="D2" i="9"/>
  <c r="M35" i="8"/>
  <c r="L35" i="8"/>
  <c r="K35" i="8"/>
  <c r="J35" i="8"/>
  <c r="I35" i="8"/>
  <c r="H35" i="8"/>
  <c r="G35" i="8"/>
  <c r="F35" i="8"/>
  <c r="E35" i="8"/>
  <c r="D35" i="8"/>
  <c r="CA34" i="8"/>
  <c r="BZ34" i="8"/>
  <c r="BY34" i="8"/>
  <c r="BX34" i="8"/>
  <c r="BW34" i="8"/>
  <c r="BV34" i="8"/>
  <c r="BU34" i="8"/>
  <c r="BT34" i="8"/>
  <c r="BS34" i="8"/>
  <c r="BR34" i="8"/>
  <c r="BP34" i="8"/>
  <c r="BO34" i="8"/>
  <c r="BN34" i="8"/>
  <c r="BM34" i="8"/>
  <c r="BL34" i="8"/>
  <c r="BK34" i="8"/>
  <c r="BJ34" i="8"/>
  <c r="BI34" i="8"/>
  <c r="BH34" i="8"/>
  <c r="BG34" i="8"/>
  <c r="BE34" i="8"/>
  <c r="BD34" i="8"/>
  <c r="BC34" i="8"/>
  <c r="BB34" i="8"/>
  <c r="BA34" i="8"/>
  <c r="AZ34" i="8"/>
  <c r="AY34" i="8"/>
  <c r="AX34" i="8"/>
  <c r="AW34" i="8"/>
  <c r="AV34" i="8"/>
  <c r="AT34" i="8"/>
  <c r="AS34" i="8"/>
  <c r="AR34" i="8"/>
  <c r="AQ34" i="8"/>
  <c r="AP34" i="8"/>
  <c r="AO34" i="8"/>
  <c r="AN34" i="8"/>
  <c r="AM34" i="8"/>
  <c r="AL34" i="8"/>
  <c r="AK34" i="8"/>
  <c r="AI34" i="8"/>
  <c r="AH34" i="8"/>
  <c r="AG34" i="8"/>
  <c r="AF34" i="8"/>
  <c r="AE34" i="8"/>
  <c r="AD34" i="8"/>
  <c r="AC34" i="8"/>
  <c r="AB34" i="8"/>
  <c r="AA34" i="8"/>
  <c r="Z34" i="8"/>
  <c r="X34" i="8"/>
  <c r="W34" i="8"/>
  <c r="V34" i="8"/>
  <c r="U34" i="8"/>
  <c r="T34" i="8"/>
  <c r="S34" i="8"/>
  <c r="R34" i="8"/>
  <c r="Q34" i="8"/>
  <c r="P34" i="8"/>
  <c r="O34" i="8"/>
  <c r="M34" i="8"/>
  <c r="L34" i="8"/>
  <c r="K34" i="8"/>
  <c r="J34" i="8"/>
  <c r="I34" i="8"/>
  <c r="H34" i="8"/>
  <c r="G34" i="8"/>
  <c r="F34" i="8"/>
  <c r="E34" i="8"/>
  <c r="D34" i="8"/>
  <c r="CA33" i="8"/>
  <c r="BZ33" i="8"/>
  <c r="BY33" i="8"/>
  <c r="BX33" i="8"/>
  <c r="BW33" i="8"/>
  <c r="BV33" i="8"/>
  <c r="BP33" i="8"/>
  <c r="BO33" i="8"/>
  <c r="BN33" i="8"/>
  <c r="BM33" i="8"/>
  <c r="BL33" i="8"/>
  <c r="BH33" i="8"/>
  <c r="BE33" i="8"/>
  <c r="BD33" i="8"/>
  <c r="BC33" i="8"/>
  <c r="BB33" i="8"/>
  <c r="BA33" i="8"/>
  <c r="AW33" i="8"/>
  <c r="AT33" i="8"/>
  <c r="AS33" i="8"/>
  <c r="AR33" i="8"/>
  <c r="AQ33" i="8"/>
  <c r="AP33" i="8"/>
  <c r="AI33" i="8"/>
  <c r="AH33" i="8"/>
  <c r="AG33" i="8"/>
  <c r="AF33" i="8"/>
  <c r="AE33" i="8"/>
  <c r="AA33" i="8"/>
  <c r="X33" i="8"/>
  <c r="W33" i="8"/>
  <c r="V33" i="8"/>
  <c r="U33" i="8"/>
  <c r="T33" i="8"/>
  <c r="M33" i="8"/>
  <c r="L33" i="8"/>
  <c r="K33" i="8"/>
  <c r="J33" i="8"/>
  <c r="I33" i="8"/>
  <c r="H33" i="8"/>
  <c r="G33" i="8"/>
  <c r="F33" i="8"/>
  <c r="E33" i="8"/>
  <c r="D33" i="8"/>
  <c r="BR32" i="8"/>
  <c r="BG32" i="8"/>
  <c r="AV32" i="8"/>
  <c r="AK32" i="8"/>
  <c r="Z32" i="8"/>
  <c r="O32" i="8"/>
  <c r="D32" i="8"/>
  <c r="BS6" i="8"/>
  <c r="BS33" i="8" s="1"/>
  <c r="AZ6" i="8"/>
  <c r="AZ33" i="8" s="1"/>
  <c r="AO6" i="8"/>
  <c r="AO33" i="8" s="1"/>
  <c r="AL6" i="8"/>
  <c r="AL33" i="8" s="1"/>
  <c r="AD6" i="8"/>
  <c r="AD33" i="8" s="1"/>
  <c r="S6" i="8"/>
  <c r="S33" i="8" s="1"/>
  <c r="R6" i="8"/>
  <c r="R33" i="8" s="1"/>
  <c r="Q6" i="8"/>
  <c r="AB6" i="8" s="1"/>
  <c r="P6" i="8"/>
  <c r="P33" i="8" s="1"/>
  <c r="O6" i="8"/>
  <c r="O33" i="8" s="1"/>
  <c r="BR5" i="8"/>
  <c r="BG5" i="8"/>
  <c r="AV5" i="8"/>
  <c r="AK5" i="8"/>
  <c r="Z5" i="8"/>
  <c r="O5" i="8"/>
  <c r="D5" i="8"/>
  <c r="D2" i="8"/>
  <c r="AC6" i="11" l="1"/>
  <c r="AC33" i="11" s="1"/>
  <c r="Z6" i="11"/>
  <c r="Z33" i="11" s="1"/>
  <c r="P33" i="11"/>
  <c r="O33" i="11"/>
  <c r="AB6" i="11"/>
  <c r="AB33" i="11" s="1"/>
  <c r="AL33" i="10"/>
  <c r="AB6" i="9"/>
  <c r="AB33" i="9" s="1"/>
  <c r="AM6" i="8"/>
  <c r="AM33" i="8" s="1"/>
  <c r="K45" i="8"/>
  <c r="K47" i="9"/>
  <c r="Q33" i="11"/>
  <c r="Z6" i="9"/>
  <c r="AK6" i="9" s="1"/>
  <c r="K40" i="11"/>
  <c r="K42" i="11"/>
  <c r="K44" i="11"/>
  <c r="BK6" i="11"/>
  <c r="BK33" i="11" s="1"/>
  <c r="K45" i="11"/>
  <c r="Z6" i="10"/>
  <c r="Z33" i="10" s="1"/>
  <c r="K44" i="10"/>
  <c r="K45" i="10"/>
  <c r="K47" i="11"/>
  <c r="K48" i="9"/>
  <c r="K45" i="9"/>
  <c r="K46" i="10"/>
  <c r="K48" i="11"/>
  <c r="K44" i="9"/>
  <c r="K46" i="9"/>
  <c r="K47" i="10"/>
  <c r="K48" i="10"/>
  <c r="K46" i="11"/>
  <c r="K43" i="11"/>
  <c r="K39" i="11"/>
  <c r="K41" i="11"/>
  <c r="AN6" i="11"/>
  <c r="BJ6" i="11"/>
  <c r="AK6" i="11"/>
  <c r="AX6" i="11"/>
  <c r="K40" i="10"/>
  <c r="K41" i="10"/>
  <c r="K42" i="10"/>
  <c r="K43" i="10"/>
  <c r="K39" i="10"/>
  <c r="BK6" i="10"/>
  <c r="BK33" i="10" s="1"/>
  <c r="Q33" i="10"/>
  <c r="AC6" i="10"/>
  <c r="AB6" i="10"/>
  <c r="K43" i="9"/>
  <c r="K39" i="9"/>
  <c r="K42" i="9"/>
  <c r="K41" i="9"/>
  <c r="K40" i="9"/>
  <c r="BJ6" i="9"/>
  <c r="AC33" i="9"/>
  <c r="AN6" i="9"/>
  <c r="AM6" i="9"/>
  <c r="AM33" i="9" s="1"/>
  <c r="S33" i="9"/>
  <c r="R33" i="9"/>
  <c r="K47" i="8"/>
  <c r="K48" i="8"/>
  <c r="K46" i="8"/>
  <c r="K44" i="8"/>
  <c r="K43" i="8"/>
  <c r="K42" i="8"/>
  <c r="K41" i="8"/>
  <c r="K40" i="8"/>
  <c r="K39" i="8"/>
  <c r="AB33" i="8"/>
  <c r="AX6" i="8"/>
  <c r="AC6" i="8"/>
  <c r="Z6" i="8"/>
  <c r="BK6" i="8"/>
  <c r="BK33" i="8" s="1"/>
  <c r="Q33" i="8"/>
  <c r="Q6" i="6"/>
  <c r="AM6" i="6" s="1"/>
  <c r="M35" i="7"/>
  <c r="L35" i="7"/>
  <c r="K35" i="7"/>
  <c r="J35" i="7"/>
  <c r="I35" i="7"/>
  <c r="H35" i="7"/>
  <c r="G35" i="7"/>
  <c r="F35" i="7"/>
  <c r="E35" i="7"/>
  <c r="D35" i="7"/>
  <c r="CA34" i="7"/>
  <c r="BZ34" i="7"/>
  <c r="BY34" i="7"/>
  <c r="BX34" i="7"/>
  <c r="BW34" i="7"/>
  <c r="BV34" i="7"/>
  <c r="BU34" i="7"/>
  <c r="BT34" i="7"/>
  <c r="BS34" i="7"/>
  <c r="BR34" i="7"/>
  <c r="BP34" i="7"/>
  <c r="BO34" i="7"/>
  <c r="BN34" i="7"/>
  <c r="BM34" i="7"/>
  <c r="BL34" i="7"/>
  <c r="BK34" i="7"/>
  <c r="BJ34" i="7"/>
  <c r="BI34" i="7"/>
  <c r="BH34" i="7"/>
  <c r="BG34" i="7"/>
  <c r="BE34" i="7"/>
  <c r="BD34" i="7"/>
  <c r="BC34" i="7"/>
  <c r="BB34" i="7"/>
  <c r="BA34" i="7"/>
  <c r="AZ34" i="7"/>
  <c r="AY34" i="7"/>
  <c r="AX34" i="7"/>
  <c r="AW34" i="7"/>
  <c r="AV34" i="7"/>
  <c r="AT34" i="7"/>
  <c r="AS34" i="7"/>
  <c r="AR34" i="7"/>
  <c r="AQ34" i="7"/>
  <c r="AP34" i="7"/>
  <c r="AO34" i="7"/>
  <c r="AN34" i="7"/>
  <c r="AM34" i="7"/>
  <c r="AL34" i="7"/>
  <c r="AK34" i="7"/>
  <c r="AI34" i="7"/>
  <c r="AH34" i="7"/>
  <c r="AG34" i="7"/>
  <c r="AF34" i="7"/>
  <c r="AE34" i="7"/>
  <c r="AD34" i="7"/>
  <c r="AC34" i="7"/>
  <c r="AB34" i="7"/>
  <c r="AA34" i="7"/>
  <c r="Z34" i="7"/>
  <c r="X34" i="7"/>
  <c r="W34" i="7"/>
  <c r="V34" i="7"/>
  <c r="U34" i="7"/>
  <c r="T34" i="7"/>
  <c r="S34" i="7"/>
  <c r="R34" i="7"/>
  <c r="Q34" i="7"/>
  <c r="P34" i="7"/>
  <c r="O34" i="7"/>
  <c r="M34" i="7"/>
  <c r="L34" i="7"/>
  <c r="K34" i="7"/>
  <c r="J34" i="7"/>
  <c r="I34" i="7"/>
  <c r="H34" i="7"/>
  <c r="G34" i="7"/>
  <c r="F34" i="7"/>
  <c r="E34" i="7"/>
  <c r="D34" i="7"/>
  <c r="CA33" i="7"/>
  <c r="BZ33" i="7"/>
  <c r="BY33" i="7"/>
  <c r="BX33" i="7"/>
  <c r="BW33" i="7"/>
  <c r="BV33" i="7"/>
  <c r="BT33" i="7"/>
  <c r="BP33" i="7"/>
  <c r="BO33" i="7"/>
  <c r="BN33" i="7"/>
  <c r="BM33" i="7"/>
  <c r="BL33" i="7"/>
  <c r="BI33" i="7"/>
  <c r="BH33" i="7"/>
  <c r="BE33" i="7"/>
  <c r="BD33" i="7"/>
  <c r="BC33" i="7"/>
  <c r="BB33" i="7"/>
  <c r="BA33" i="7"/>
  <c r="AX33" i="7"/>
  <c r="AW33" i="7"/>
  <c r="AT33" i="7"/>
  <c r="AS33" i="7"/>
  <c r="AR33" i="7"/>
  <c r="AQ33" i="7"/>
  <c r="AP33" i="7"/>
  <c r="AM33" i="7"/>
  <c r="AI33" i="7"/>
  <c r="AH33" i="7"/>
  <c r="AG33" i="7"/>
  <c r="AF33" i="7"/>
  <c r="AE33" i="7"/>
  <c r="AB33" i="7"/>
  <c r="AA33" i="7"/>
  <c r="Z33" i="7"/>
  <c r="X33" i="7"/>
  <c r="W33" i="7"/>
  <c r="V33" i="7"/>
  <c r="U33" i="7"/>
  <c r="T33" i="7"/>
  <c r="Q33" i="7"/>
  <c r="M33" i="7"/>
  <c r="L33" i="7"/>
  <c r="K33" i="7"/>
  <c r="J33" i="7"/>
  <c r="I33" i="7"/>
  <c r="H33" i="7"/>
  <c r="G33" i="7"/>
  <c r="F33" i="7"/>
  <c r="E33" i="7"/>
  <c r="D33" i="7"/>
  <c r="BR32" i="7"/>
  <c r="BG32" i="7"/>
  <c r="AV32" i="7"/>
  <c r="AK32" i="7"/>
  <c r="Z32" i="7"/>
  <c r="O32" i="7"/>
  <c r="D32" i="7"/>
  <c r="BS6" i="7"/>
  <c r="BS33" i="7" s="1"/>
  <c r="AZ6" i="7"/>
  <c r="AZ33" i="7" s="1"/>
  <c r="AO6" i="7"/>
  <c r="AO33" i="7" s="1"/>
  <c r="AL6" i="7"/>
  <c r="AL33" i="7" s="1"/>
  <c r="AK6" i="7"/>
  <c r="AK33" i="7" s="1"/>
  <c r="AD6" i="7"/>
  <c r="AD33" i="7" s="1"/>
  <c r="S6" i="7"/>
  <c r="BK6" i="7" s="1"/>
  <c r="BK33" i="7" s="1"/>
  <c r="R6" i="7"/>
  <c r="R33" i="7" s="1"/>
  <c r="P6" i="7"/>
  <c r="P33" i="7" s="1"/>
  <c r="O6" i="7"/>
  <c r="O33" i="7" s="1"/>
  <c r="BR5" i="7"/>
  <c r="BG5" i="7"/>
  <c r="AV5" i="7"/>
  <c r="AK5" i="7"/>
  <c r="Z5" i="7"/>
  <c r="O5" i="7"/>
  <c r="D5" i="7"/>
  <c r="D2" i="7"/>
  <c r="M35" i="6"/>
  <c r="L35" i="6"/>
  <c r="K35" i="6"/>
  <c r="J35" i="6"/>
  <c r="I35" i="6"/>
  <c r="H35" i="6"/>
  <c r="G35" i="6"/>
  <c r="F35" i="6"/>
  <c r="E35" i="6"/>
  <c r="D35" i="6"/>
  <c r="CA34" i="6"/>
  <c r="BZ34" i="6"/>
  <c r="BY34" i="6"/>
  <c r="BX34" i="6"/>
  <c r="BW34" i="6"/>
  <c r="BV34" i="6"/>
  <c r="BU34" i="6"/>
  <c r="BT34" i="6"/>
  <c r="BS34" i="6"/>
  <c r="BR34" i="6"/>
  <c r="BP34" i="6"/>
  <c r="BO34" i="6"/>
  <c r="BN34" i="6"/>
  <c r="BM34" i="6"/>
  <c r="BL34" i="6"/>
  <c r="BK34" i="6"/>
  <c r="BJ34" i="6"/>
  <c r="BI34" i="6"/>
  <c r="BH34" i="6"/>
  <c r="BG34" i="6"/>
  <c r="BE34" i="6"/>
  <c r="BD34" i="6"/>
  <c r="BC34" i="6"/>
  <c r="BB34" i="6"/>
  <c r="BA34" i="6"/>
  <c r="AZ34" i="6"/>
  <c r="AY34" i="6"/>
  <c r="AX34" i="6"/>
  <c r="AW34" i="6"/>
  <c r="AV34" i="6"/>
  <c r="AT34" i="6"/>
  <c r="AS34" i="6"/>
  <c r="AR34" i="6"/>
  <c r="AQ34" i="6"/>
  <c r="AP34" i="6"/>
  <c r="AO34" i="6"/>
  <c r="AN34" i="6"/>
  <c r="AM34" i="6"/>
  <c r="AL34" i="6"/>
  <c r="AK34" i="6"/>
  <c r="AI34" i="6"/>
  <c r="AH34" i="6"/>
  <c r="AG34" i="6"/>
  <c r="AF34" i="6"/>
  <c r="AE34" i="6"/>
  <c r="AD34" i="6"/>
  <c r="AC34" i="6"/>
  <c r="AB34" i="6"/>
  <c r="AA34" i="6"/>
  <c r="Z34" i="6"/>
  <c r="X34" i="6"/>
  <c r="W34" i="6"/>
  <c r="V34" i="6"/>
  <c r="U34" i="6"/>
  <c r="T34" i="6"/>
  <c r="S34" i="6"/>
  <c r="R34" i="6"/>
  <c r="Q34" i="6"/>
  <c r="P34" i="6"/>
  <c r="O34" i="6"/>
  <c r="M34" i="6"/>
  <c r="L34" i="6"/>
  <c r="K34" i="6"/>
  <c r="J34" i="6"/>
  <c r="I34" i="6"/>
  <c r="H34" i="6"/>
  <c r="G34" i="6"/>
  <c r="F34" i="6"/>
  <c r="E34" i="6"/>
  <c r="D34" i="6"/>
  <c r="CA33" i="6"/>
  <c r="BZ33" i="6"/>
  <c r="BY33" i="6"/>
  <c r="BX33" i="6"/>
  <c r="BW33" i="6"/>
  <c r="BV33" i="6"/>
  <c r="BP33" i="6"/>
  <c r="BO33" i="6"/>
  <c r="BN33" i="6"/>
  <c r="BM33" i="6"/>
  <c r="BL33" i="6"/>
  <c r="BE33" i="6"/>
  <c r="BD33" i="6"/>
  <c r="BC33" i="6"/>
  <c r="BB33" i="6"/>
  <c r="BA33" i="6"/>
  <c r="AT33" i="6"/>
  <c r="AS33" i="6"/>
  <c r="AR33" i="6"/>
  <c r="AQ33" i="6"/>
  <c r="AP33" i="6"/>
  <c r="AI33" i="6"/>
  <c r="AH33" i="6"/>
  <c r="AG33" i="6"/>
  <c r="AF33" i="6"/>
  <c r="AE33" i="6"/>
  <c r="X33" i="6"/>
  <c r="W33" i="6"/>
  <c r="V33" i="6"/>
  <c r="U33" i="6"/>
  <c r="T33" i="6"/>
  <c r="M33" i="6"/>
  <c r="L33" i="6"/>
  <c r="K33" i="6"/>
  <c r="J33" i="6"/>
  <c r="I33" i="6"/>
  <c r="H33" i="6"/>
  <c r="G33" i="6"/>
  <c r="F33" i="6"/>
  <c r="E33" i="6"/>
  <c r="D33" i="6"/>
  <c r="BR32" i="6"/>
  <c r="BG32" i="6"/>
  <c r="AV32" i="6"/>
  <c r="AK32" i="6"/>
  <c r="Z32" i="6"/>
  <c r="O32" i="6"/>
  <c r="D32" i="6"/>
  <c r="AZ6" i="6"/>
  <c r="AZ33" i="6" s="1"/>
  <c r="AO6" i="6"/>
  <c r="AO33" i="6" s="1"/>
  <c r="AD6" i="6"/>
  <c r="AD33" i="6" s="1"/>
  <c r="S6" i="6"/>
  <c r="BK6" i="6" s="1"/>
  <c r="BK33" i="6" s="1"/>
  <c r="R6" i="6"/>
  <c r="AC6" i="6" s="1"/>
  <c r="P6" i="6"/>
  <c r="O6" i="6"/>
  <c r="O33" i="6" s="1"/>
  <c r="BR5" i="6"/>
  <c r="BG5" i="6"/>
  <c r="AV5" i="6"/>
  <c r="AK5" i="6"/>
  <c r="Z5" i="6"/>
  <c r="O5" i="6"/>
  <c r="D5" i="6"/>
  <c r="D2" i="6"/>
  <c r="M35" i="5"/>
  <c r="L35" i="5"/>
  <c r="K35" i="5"/>
  <c r="J35" i="5"/>
  <c r="I35" i="5"/>
  <c r="H35" i="5"/>
  <c r="G35" i="5"/>
  <c r="F35" i="5"/>
  <c r="E35" i="5"/>
  <c r="D35" i="5"/>
  <c r="CA34" i="5"/>
  <c r="BZ34" i="5"/>
  <c r="BY34" i="5"/>
  <c r="BX34" i="5"/>
  <c r="BW34" i="5"/>
  <c r="BV34" i="5"/>
  <c r="BU34" i="5"/>
  <c r="BT34" i="5"/>
  <c r="BS34" i="5"/>
  <c r="BR34" i="5"/>
  <c r="BP34" i="5"/>
  <c r="BO34" i="5"/>
  <c r="BN34" i="5"/>
  <c r="BM34" i="5"/>
  <c r="BL34" i="5"/>
  <c r="BK34" i="5"/>
  <c r="BJ34" i="5"/>
  <c r="BI34" i="5"/>
  <c r="BH34" i="5"/>
  <c r="BG34" i="5"/>
  <c r="BE34" i="5"/>
  <c r="BD34" i="5"/>
  <c r="BC34" i="5"/>
  <c r="BB34" i="5"/>
  <c r="BA34" i="5"/>
  <c r="AZ34" i="5"/>
  <c r="AY34" i="5"/>
  <c r="AX34" i="5"/>
  <c r="AW34" i="5"/>
  <c r="AV34" i="5"/>
  <c r="AT34" i="5"/>
  <c r="AS34" i="5"/>
  <c r="AR34" i="5"/>
  <c r="AQ34" i="5"/>
  <c r="AP34" i="5"/>
  <c r="AO34" i="5"/>
  <c r="AN34" i="5"/>
  <c r="AM34" i="5"/>
  <c r="AL34" i="5"/>
  <c r="AK34" i="5"/>
  <c r="AI34" i="5"/>
  <c r="AH34" i="5"/>
  <c r="AG34" i="5"/>
  <c r="AF34" i="5"/>
  <c r="AE34" i="5"/>
  <c r="AD34" i="5"/>
  <c r="AC34" i="5"/>
  <c r="AB34" i="5"/>
  <c r="AA34" i="5"/>
  <c r="Z34" i="5"/>
  <c r="X34" i="5"/>
  <c r="W34" i="5"/>
  <c r="V34" i="5"/>
  <c r="U34" i="5"/>
  <c r="T34" i="5"/>
  <c r="S34" i="5"/>
  <c r="R34" i="5"/>
  <c r="Q34" i="5"/>
  <c r="P34" i="5"/>
  <c r="O34" i="5"/>
  <c r="M34" i="5"/>
  <c r="L34" i="5"/>
  <c r="K34" i="5"/>
  <c r="J34" i="5"/>
  <c r="I34" i="5"/>
  <c r="H34" i="5"/>
  <c r="G34" i="5"/>
  <c r="F34" i="5"/>
  <c r="E34" i="5"/>
  <c r="D34" i="5"/>
  <c r="CA33" i="5"/>
  <c r="BZ33" i="5"/>
  <c r="BY33" i="5"/>
  <c r="BX33" i="5"/>
  <c r="BW33" i="5"/>
  <c r="BV33" i="5"/>
  <c r="BP33" i="5"/>
  <c r="BO33" i="5"/>
  <c r="BN33" i="5"/>
  <c r="BM33" i="5"/>
  <c r="BL33" i="5"/>
  <c r="BE33" i="5"/>
  <c r="BD33" i="5"/>
  <c r="BC33" i="5"/>
  <c r="BB33" i="5"/>
  <c r="BA33" i="5"/>
  <c r="AT33" i="5"/>
  <c r="AS33" i="5"/>
  <c r="AR33" i="5"/>
  <c r="AQ33" i="5"/>
  <c r="AP33" i="5"/>
  <c r="AI33" i="5"/>
  <c r="AH33" i="5"/>
  <c r="AG33" i="5"/>
  <c r="AF33" i="5"/>
  <c r="AE33" i="5"/>
  <c r="X33" i="5"/>
  <c r="W33" i="5"/>
  <c r="V33" i="5"/>
  <c r="U33" i="5"/>
  <c r="T33" i="5"/>
  <c r="M33" i="5"/>
  <c r="L33" i="5"/>
  <c r="K33" i="5"/>
  <c r="J33" i="5"/>
  <c r="I33" i="5"/>
  <c r="H33" i="5"/>
  <c r="G33" i="5"/>
  <c r="F33" i="5"/>
  <c r="E33" i="5"/>
  <c r="D33" i="5"/>
  <c r="BR32" i="5"/>
  <c r="BG32" i="5"/>
  <c r="AV32" i="5"/>
  <c r="AK32" i="5"/>
  <c r="Z32" i="5"/>
  <c r="O32" i="5"/>
  <c r="D32" i="5"/>
  <c r="AZ6" i="5"/>
  <c r="AZ33" i="5" s="1"/>
  <c r="AO6" i="5"/>
  <c r="AO33" i="5" s="1"/>
  <c r="AD6" i="5"/>
  <c r="AD33" i="5" s="1"/>
  <c r="S6" i="5"/>
  <c r="BK6" i="5" s="1"/>
  <c r="BK33" i="5" s="1"/>
  <c r="R6" i="5"/>
  <c r="AC6" i="5" s="1"/>
  <c r="AN6" i="5" s="1"/>
  <c r="Q6" i="5"/>
  <c r="AB6" i="5" s="1"/>
  <c r="AM6" i="5" s="1"/>
  <c r="P6" i="5"/>
  <c r="P33" i="5" s="1"/>
  <c r="O6" i="5"/>
  <c r="O33" i="5" s="1"/>
  <c r="BR5" i="5"/>
  <c r="BG5" i="5"/>
  <c r="AV5" i="5"/>
  <c r="AK5" i="5"/>
  <c r="Z5" i="5"/>
  <c r="O5" i="5"/>
  <c r="D5" i="5"/>
  <c r="D2" i="5"/>
  <c r="AK6" i="10" l="1"/>
  <c r="AK33" i="9"/>
  <c r="AV6" i="9"/>
  <c r="Z33" i="9"/>
  <c r="AX6" i="9"/>
  <c r="AB6" i="6"/>
  <c r="AX6" i="6" s="1"/>
  <c r="BI6" i="6" s="1"/>
  <c r="R33" i="5"/>
  <c r="K42" i="7"/>
  <c r="AA6" i="5"/>
  <c r="AL6" i="5" s="1"/>
  <c r="AC6" i="7"/>
  <c r="BJ6" i="7" s="1"/>
  <c r="BI6" i="11"/>
  <c r="BI33" i="11" s="1"/>
  <c r="AX33" i="11"/>
  <c r="BT6" i="11"/>
  <c r="BT33" i="11" s="1"/>
  <c r="AN33" i="11"/>
  <c r="AY6" i="11"/>
  <c r="AY33" i="11" s="1"/>
  <c r="BJ33" i="11"/>
  <c r="BU6" i="11"/>
  <c r="BU33" i="11" s="1"/>
  <c r="AK33" i="11"/>
  <c r="AV6" i="11"/>
  <c r="AK33" i="10"/>
  <c r="AV6" i="10"/>
  <c r="AN6" i="10"/>
  <c r="AC33" i="10"/>
  <c r="BJ6" i="10"/>
  <c r="AB33" i="10"/>
  <c r="AX6" i="10"/>
  <c r="BR6" i="9"/>
  <c r="BR33" i="9" s="1"/>
  <c r="BG6" i="9"/>
  <c r="BG33" i="9" s="1"/>
  <c r="AV33" i="9"/>
  <c r="BI6" i="9"/>
  <c r="BI33" i="9" s="1"/>
  <c r="AX33" i="9"/>
  <c r="BT6" i="9"/>
  <c r="BT33" i="9" s="1"/>
  <c r="AN33" i="9"/>
  <c r="AY6" i="9"/>
  <c r="AY33" i="9" s="1"/>
  <c r="BJ33" i="9"/>
  <c r="BU6" i="9"/>
  <c r="BU33" i="9" s="1"/>
  <c r="AV6" i="7"/>
  <c r="Z6" i="5"/>
  <c r="AK6" i="5" s="1"/>
  <c r="Q33" i="5"/>
  <c r="Z6" i="6"/>
  <c r="K43" i="7"/>
  <c r="K45" i="7"/>
  <c r="K47" i="7"/>
  <c r="S33" i="7"/>
  <c r="K44" i="7"/>
  <c r="K46" i="7"/>
  <c r="K48" i="7"/>
  <c r="Z33" i="8"/>
  <c r="AK6" i="8"/>
  <c r="AC33" i="8"/>
  <c r="BJ6" i="8"/>
  <c r="AN6" i="8"/>
  <c r="BT6" i="8"/>
  <c r="BT33" i="8" s="1"/>
  <c r="AX33" i="8"/>
  <c r="BI6" i="8"/>
  <c r="BI33" i="8" s="1"/>
  <c r="K41" i="7"/>
  <c r="K40" i="7"/>
  <c r="K39" i="7"/>
  <c r="K44" i="6"/>
  <c r="R33" i="6"/>
  <c r="K47" i="5"/>
  <c r="K47" i="6"/>
  <c r="K48" i="6"/>
  <c r="Q33" i="6"/>
  <c r="S33" i="6"/>
  <c r="K45" i="6"/>
  <c r="K48" i="5"/>
  <c r="K42" i="6"/>
  <c r="K46" i="6"/>
  <c r="K43" i="6"/>
  <c r="K39" i="6"/>
  <c r="K40" i="6"/>
  <c r="K41" i="6"/>
  <c r="P33" i="6"/>
  <c r="AA33" i="6"/>
  <c r="AL6" i="6"/>
  <c r="AB33" i="6"/>
  <c r="BI33" i="6"/>
  <c r="AC33" i="6"/>
  <c r="BJ6" i="6"/>
  <c r="AN6" i="6"/>
  <c r="K46" i="5"/>
  <c r="K39" i="5"/>
  <c r="K45" i="5"/>
  <c r="K43" i="5"/>
  <c r="K44" i="5"/>
  <c r="K42" i="5"/>
  <c r="K41" i="5"/>
  <c r="K40" i="5"/>
  <c r="AW6" i="5"/>
  <c r="AL33" i="5"/>
  <c r="AM33" i="5"/>
  <c r="AX6" i="5"/>
  <c r="AY6" i="5"/>
  <c r="AY33" i="5" s="1"/>
  <c r="AN33" i="5"/>
  <c r="AA33" i="5"/>
  <c r="AB33" i="5"/>
  <c r="AC33" i="5"/>
  <c r="BI6" i="5"/>
  <c r="BI33" i="5" s="1"/>
  <c r="BJ6" i="5"/>
  <c r="S33" i="5"/>
  <c r="AK33" i="5" l="1"/>
  <c r="BJ33" i="7"/>
  <c r="BU6" i="7"/>
  <c r="BU33" i="7" s="1"/>
  <c r="AV33" i="7"/>
  <c r="AN6" i="7"/>
  <c r="AC33" i="7"/>
  <c r="AV6" i="5"/>
  <c r="BR6" i="11"/>
  <c r="BR33" i="11" s="1"/>
  <c r="BG6" i="11"/>
  <c r="BG33" i="11" s="1"/>
  <c r="AV33" i="11"/>
  <c r="BJ33" i="10"/>
  <c r="BU6" i="10"/>
  <c r="BU33" i="10" s="1"/>
  <c r="BT6" i="10"/>
  <c r="BT33" i="10" s="1"/>
  <c r="AX33" i="10"/>
  <c r="BI6" i="10"/>
  <c r="BI33" i="10" s="1"/>
  <c r="AN33" i="10"/>
  <c r="AY6" i="10"/>
  <c r="AY33" i="10" s="1"/>
  <c r="BR6" i="10"/>
  <c r="BR33" i="10" s="1"/>
  <c r="BG6" i="10"/>
  <c r="BG33" i="10" s="1"/>
  <c r="AV33" i="10"/>
  <c r="Z33" i="5"/>
  <c r="BG6" i="7"/>
  <c r="BG33" i="7" s="1"/>
  <c r="BR6" i="7"/>
  <c r="BR33" i="7" s="1"/>
  <c r="AK33" i="8"/>
  <c r="AV6" i="8"/>
  <c r="BJ33" i="8"/>
  <c r="BU6" i="8"/>
  <c r="BU33" i="8" s="1"/>
  <c r="AY6" i="8"/>
  <c r="AY33" i="8" s="1"/>
  <c r="AN33" i="8"/>
  <c r="AN33" i="7"/>
  <c r="AY6" i="7"/>
  <c r="AY33" i="7" s="1"/>
  <c r="AL33" i="6"/>
  <c r="BJ33" i="6"/>
  <c r="BU6" i="6"/>
  <c r="BU33" i="6" s="1"/>
  <c r="AK6" i="6"/>
  <c r="Z33" i="6"/>
  <c r="AN33" i="6"/>
  <c r="AY6" i="6"/>
  <c r="AY33" i="6" s="1"/>
  <c r="AM33" i="6"/>
  <c r="BT6" i="5"/>
  <c r="BT33" i="5" s="1"/>
  <c r="AX33" i="5"/>
  <c r="BH6" i="5"/>
  <c r="AW33" i="5"/>
  <c r="BU6" i="5"/>
  <c r="BU33" i="5" s="1"/>
  <c r="BJ33" i="5"/>
  <c r="BR6" i="5"/>
  <c r="BR33" i="5" s="1"/>
  <c r="BG6" i="5"/>
  <c r="BG33" i="5" s="1"/>
  <c r="AV33" i="5"/>
  <c r="BR6" i="8" l="1"/>
  <c r="BR33" i="8" s="1"/>
  <c r="BG6" i="8"/>
  <c r="BG33" i="8" s="1"/>
  <c r="AV33" i="8"/>
  <c r="AK33" i="6"/>
  <c r="AV6" i="6"/>
  <c r="BR6" i="6" s="1"/>
  <c r="AX33" i="6"/>
  <c r="BT6" i="6"/>
  <c r="BT33" i="6" s="1"/>
  <c r="AW33" i="6"/>
  <c r="BH33" i="5"/>
  <c r="BS6" i="5"/>
  <c r="BS33" i="5" s="1"/>
  <c r="BH33" i="6" l="1"/>
  <c r="BS6" i="6"/>
  <c r="BS33" i="6" s="1"/>
  <c r="BG6" i="6"/>
  <c r="BG33" i="6" s="1"/>
  <c r="BR33" i="6"/>
  <c r="AV33" i="6"/>
  <c r="BV33" i="4"/>
  <c r="AZ6" i="4"/>
  <c r="AZ33" i="4" s="1"/>
  <c r="AO6" i="4"/>
  <c r="AD6" i="4"/>
  <c r="S6" i="4"/>
  <c r="S33" i="4" s="1"/>
  <c r="M35" i="4"/>
  <c r="L35" i="4"/>
  <c r="K35" i="4"/>
  <c r="J35" i="4"/>
  <c r="I35" i="4"/>
  <c r="H35" i="4"/>
  <c r="G35" i="4"/>
  <c r="F35" i="4"/>
  <c r="E35" i="4"/>
  <c r="D35" i="4"/>
  <c r="CA34" i="4"/>
  <c r="BZ34" i="4"/>
  <c r="BY34" i="4"/>
  <c r="BX34" i="4"/>
  <c r="BW34" i="4"/>
  <c r="BV34" i="4"/>
  <c r="BU34" i="4"/>
  <c r="BT34" i="4"/>
  <c r="BS34" i="4"/>
  <c r="BR34" i="4"/>
  <c r="BP34" i="4"/>
  <c r="BO34" i="4"/>
  <c r="BN34" i="4"/>
  <c r="BM34" i="4"/>
  <c r="BL34" i="4"/>
  <c r="BK34" i="4"/>
  <c r="BJ34" i="4"/>
  <c r="BI34" i="4"/>
  <c r="BH34" i="4"/>
  <c r="BG34" i="4"/>
  <c r="BE34" i="4"/>
  <c r="BD34" i="4"/>
  <c r="BC34" i="4"/>
  <c r="BB34" i="4"/>
  <c r="BA34" i="4"/>
  <c r="AZ34" i="4"/>
  <c r="AY34" i="4"/>
  <c r="AX34" i="4"/>
  <c r="AW34" i="4"/>
  <c r="AV34" i="4"/>
  <c r="AT34" i="4"/>
  <c r="AS34" i="4"/>
  <c r="AR34" i="4"/>
  <c r="AQ34" i="4"/>
  <c r="AP34" i="4"/>
  <c r="AO34" i="4"/>
  <c r="AN34" i="4"/>
  <c r="AM34" i="4"/>
  <c r="AL34" i="4"/>
  <c r="AK34" i="4"/>
  <c r="AI34" i="4"/>
  <c r="AH34" i="4"/>
  <c r="AG34" i="4"/>
  <c r="AF34" i="4"/>
  <c r="AE34" i="4"/>
  <c r="AD34" i="4"/>
  <c r="AC34" i="4"/>
  <c r="AB34" i="4"/>
  <c r="AA34" i="4"/>
  <c r="Z34" i="4"/>
  <c r="X34" i="4"/>
  <c r="W34" i="4"/>
  <c r="V34" i="4"/>
  <c r="U34" i="4"/>
  <c r="T34" i="4"/>
  <c r="S34" i="4"/>
  <c r="R34" i="4"/>
  <c r="Q34" i="4"/>
  <c r="P34" i="4"/>
  <c r="O34" i="4"/>
  <c r="M34" i="4"/>
  <c r="L34" i="4"/>
  <c r="K34" i="4"/>
  <c r="J34" i="4"/>
  <c r="I34" i="4"/>
  <c r="H34" i="4"/>
  <c r="G34" i="4"/>
  <c r="F34" i="4"/>
  <c r="E34" i="4"/>
  <c r="D34" i="4"/>
  <c r="CA33" i="4"/>
  <c r="BZ33" i="4"/>
  <c r="BY33" i="4"/>
  <c r="BX33" i="4"/>
  <c r="BW33" i="4"/>
  <c r="BP33" i="4"/>
  <c r="BO33" i="4"/>
  <c r="BN33" i="4"/>
  <c r="BM33" i="4"/>
  <c r="BL33" i="4"/>
  <c r="BE33" i="4"/>
  <c r="BD33" i="4"/>
  <c r="BC33" i="4"/>
  <c r="BB33" i="4"/>
  <c r="BA33" i="4"/>
  <c r="AT33" i="4"/>
  <c r="AS33" i="4"/>
  <c r="AR33" i="4"/>
  <c r="AQ33" i="4"/>
  <c r="AP33" i="4"/>
  <c r="AO33" i="4"/>
  <c r="AI33" i="4"/>
  <c r="AH33" i="4"/>
  <c r="AG33" i="4"/>
  <c r="AF33" i="4"/>
  <c r="AE33" i="4"/>
  <c r="X33" i="4"/>
  <c r="W33" i="4"/>
  <c r="V33" i="4"/>
  <c r="U33" i="4"/>
  <c r="T33" i="4"/>
  <c r="M33" i="4"/>
  <c r="L33" i="4"/>
  <c r="K33" i="4"/>
  <c r="J33" i="4"/>
  <c r="I33" i="4"/>
  <c r="H33" i="4"/>
  <c r="G33" i="4"/>
  <c r="F33" i="4"/>
  <c r="E33" i="4"/>
  <c r="D33" i="4"/>
  <c r="BR32" i="4"/>
  <c r="BG32" i="4"/>
  <c r="AV32" i="4"/>
  <c r="AK32" i="4"/>
  <c r="Z32" i="4"/>
  <c r="O32" i="4"/>
  <c r="D32" i="4"/>
  <c r="R6" i="4"/>
  <c r="R33" i="4" s="1"/>
  <c r="Q6" i="4"/>
  <c r="Q33" i="4" s="1"/>
  <c r="P6" i="4"/>
  <c r="P33" i="4" s="1"/>
  <c r="O6" i="4"/>
  <c r="O33" i="4" s="1"/>
  <c r="BR5" i="4"/>
  <c r="BG5" i="4"/>
  <c r="AV5" i="4"/>
  <c r="AK5" i="4"/>
  <c r="Z5" i="4"/>
  <c r="O5" i="4"/>
  <c r="D5" i="4"/>
  <c r="D2" i="4"/>
  <c r="M35" i="2"/>
  <c r="L35" i="2"/>
  <c r="K35" i="2"/>
  <c r="J35" i="2"/>
  <c r="I35" i="2"/>
  <c r="H35" i="2"/>
  <c r="G35" i="2"/>
  <c r="F35" i="2"/>
  <c r="E35" i="2"/>
  <c r="D35" i="2"/>
  <c r="CA34" i="2"/>
  <c r="BZ34" i="2"/>
  <c r="BY34" i="2"/>
  <c r="BX34" i="2"/>
  <c r="BW34" i="2"/>
  <c r="BV34" i="2"/>
  <c r="BU34" i="2"/>
  <c r="BT34" i="2"/>
  <c r="BS34" i="2"/>
  <c r="BR34" i="2"/>
  <c r="BP34" i="2"/>
  <c r="BO34" i="2"/>
  <c r="BN34" i="2"/>
  <c r="BM34" i="2"/>
  <c r="BL34" i="2"/>
  <c r="BK34" i="2"/>
  <c r="BJ34" i="2"/>
  <c r="BI34" i="2"/>
  <c r="BH34" i="2"/>
  <c r="BG34" i="2"/>
  <c r="BE34" i="2"/>
  <c r="BD34" i="2"/>
  <c r="BC34" i="2"/>
  <c r="BB34" i="2"/>
  <c r="BA34" i="2"/>
  <c r="AZ34" i="2"/>
  <c r="AY34" i="2"/>
  <c r="AX34" i="2"/>
  <c r="AW34" i="2"/>
  <c r="AV34" i="2"/>
  <c r="AT34" i="2"/>
  <c r="AS34" i="2"/>
  <c r="AR34" i="2"/>
  <c r="AQ34" i="2"/>
  <c r="AP34" i="2"/>
  <c r="AO34" i="2"/>
  <c r="AN34" i="2"/>
  <c r="AM34" i="2"/>
  <c r="AL34" i="2"/>
  <c r="AK34" i="2"/>
  <c r="AI34" i="2"/>
  <c r="AH34" i="2"/>
  <c r="AG34" i="2"/>
  <c r="AF34" i="2"/>
  <c r="AE34" i="2"/>
  <c r="AD34" i="2"/>
  <c r="AC34" i="2"/>
  <c r="AB34" i="2"/>
  <c r="AA34" i="2"/>
  <c r="Z34" i="2"/>
  <c r="X34" i="2"/>
  <c r="W34" i="2"/>
  <c r="V34" i="2"/>
  <c r="U34" i="2"/>
  <c r="T34" i="2"/>
  <c r="S34" i="2"/>
  <c r="R34" i="2"/>
  <c r="Q34" i="2"/>
  <c r="P34" i="2"/>
  <c r="O34" i="2"/>
  <c r="M34" i="2"/>
  <c r="L34" i="2"/>
  <c r="K34" i="2"/>
  <c r="J34" i="2"/>
  <c r="I34" i="2"/>
  <c r="H34" i="2"/>
  <c r="G34" i="2"/>
  <c r="F34" i="2"/>
  <c r="E34" i="2"/>
  <c r="D34" i="2"/>
  <c r="CA33" i="2"/>
  <c r="BZ33" i="2"/>
  <c r="BY33" i="2"/>
  <c r="BX33" i="2"/>
  <c r="BW33" i="2"/>
  <c r="BV33" i="2"/>
  <c r="BP33" i="2"/>
  <c r="BO33" i="2"/>
  <c r="BN33" i="2"/>
  <c r="BM33" i="2"/>
  <c r="BL33" i="2"/>
  <c r="BK33" i="2"/>
  <c r="BE33" i="2"/>
  <c r="BD33" i="2"/>
  <c r="BC33" i="2"/>
  <c r="BB33" i="2"/>
  <c r="BA33" i="2"/>
  <c r="AZ33" i="2"/>
  <c r="AT33" i="2"/>
  <c r="AS33" i="2"/>
  <c r="AR33" i="2"/>
  <c r="AQ33" i="2"/>
  <c r="AP33" i="2"/>
  <c r="AO33" i="2"/>
  <c r="AI33" i="2"/>
  <c r="AH33" i="2"/>
  <c r="AG33" i="2"/>
  <c r="AF33" i="2"/>
  <c r="AE33" i="2"/>
  <c r="AD33" i="2"/>
  <c r="X33" i="2"/>
  <c r="W33" i="2"/>
  <c r="V33" i="2"/>
  <c r="U33" i="2"/>
  <c r="T33" i="2"/>
  <c r="S33" i="2"/>
  <c r="M33" i="2"/>
  <c r="L33" i="2"/>
  <c r="K33" i="2"/>
  <c r="J33" i="2"/>
  <c r="I33" i="2"/>
  <c r="H33" i="2"/>
  <c r="G33" i="2"/>
  <c r="F33" i="2"/>
  <c r="E33" i="2"/>
  <c r="D33" i="2"/>
  <c r="BR32" i="2"/>
  <c r="BG32" i="2"/>
  <c r="AV32" i="2"/>
  <c r="AK32" i="2"/>
  <c r="Z32" i="2"/>
  <c r="O32" i="2"/>
  <c r="D32" i="2"/>
  <c r="R6" i="2"/>
  <c r="R33" i="2" s="1"/>
  <c r="Q6" i="2"/>
  <c r="Q33" i="2" s="1"/>
  <c r="P6" i="2"/>
  <c r="P33" i="2" s="1"/>
  <c r="O6" i="2"/>
  <c r="Z6" i="2" s="1"/>
  <c r="BR5" i="2"/>
  <c r="BG5" i="2"/>
  <c r="AV5" i="2"/>
  <c r="AK5" i="2"/>
  <c r="Z5" i="2"/>
  <c r="O5" i="2"/>
  <c r="D5" i="2"/>
  <c r="D2" i="2"/>
  <c r="AD33" i="4" l="1"/>
  <c r="K46" i="2"/>
  <c r="K45" i="2"/>
  <c r="AA6" i="4"/>
  <c r="AL6" i="4" s="1"/>
  <c r="AL33" i="4" s="1"/>
  <c r="K44" i="2"/>
  <c r="K48" i="2"/>
  <c r="K47" i="2"/>
  <c r="K45" i="4"/>
  <c r="K44" i="4"/>
  <c r="BK6" i="4"/>
  <c r="BK33" i="4" s="1"/>
  <c r="K48" i="4"/>
  <c r="K46" i="4"/>
  <c r="K47" i="4"/>
  <c r="K42" i="4"/>
  <c r="K41" i="4"/>
  <c r="K39" i="4"/>
  <c r="K40" i="4"/>
  <c r="K43" i="4"/>
  <c r="AW6" i="4"/>
  <c r="Z6" i="4"/>
  <c r="AA33" i="4"/>
  <c r="AB6" i="4"/>
  <c r="AC6" i="4"/>
  <c r="K42" i="2"/>
  <c r="K41" i="2"/>
  <c r="K43" i="2"/>
  <c r="K39" i="2"/>
  <c r="K40" i="2"/>
  <c r="AK6" i="2"/>
  <c r="Z33" i="2"/>
  <c r="AA6" i="2"/>
  <c r="O33" i="2"/>
  <c r="AB6" i="2"/>
  <c r="AC6" i="2"/>
  <c r="Z33" i="4" l="1"/>
  <c r="AK6" i="4"/>
  <c r="BH6" i="4"/>
  <c r="AW33" i="4"/>
  <c r="BJ6" i="4"/>
  <c r="AC33" i="4"/>
  <c r="AN6" i="4"/>
  <c r="BI6" i="4"/>
  <c r="BI33" i="4" s="1"/>
  <c r="AB33" i="4"/>
  <c r="AM6" i="4"/>
  <c r="AV6" i="2"/>
  <c r="AK33" i="2"/>
  <c r="AL6" i="2"/>
  <c r="AA33" i="2"/>
  <c r="BJ6" i="2"/>
  <c r="AC33" i="2"/>
  <c r="AN6" i="2"/>
  <c r="AM6" i="2"/>
  <c r="BI6" i="2"/>
  <c r="BI33" i="2" s="1"/>
  <c r="AB33" i="2"/>
  <c r="BS6" i="4" l="1"/>
  <c r="BS33" i="4" s="1"/>
  <c r="BH33" i="4"/>
  <c r="AV6" i="4"/>
  <c r="AK33" i="4"/>
  <c r="AM33" i="4"/>
  <c r="AX6" i="4"/>
  <c r="AN33" i="4"/>
  <c r="AY6" i="4"/>
  <c r="AY33" i="4" s="1"/>
  <c r="BJ33" i="4"/>
  <c r="BU6" i="4"/>
  <c r="BU33" i="4" s="1"/>
  <c r="BR6" i="2"/>
  <c r="BR33" i="2" s="1"/>
  <c r="BG6" i="2"/>
  <c r="BG33" i="2" s="1"/>
  <c r="AV33" i="2"/>
  <c r="AL33" i="2"/>
  <c r="AW6" i="2"/>
  <c r="AM33" i="2"/>
  <c r="AX6" i="2"/>
  <c r="AY6" i="2"/>
  <c r="AY33" i="2" s="1"/>
  <c r="AN33" i="2"/>
  <c r="BJ33" i="2"/>
  <c r="BU6" i="2"/>
  <c r="BU33" i="2" s="1"/>
  <c r="BT6" i="4" l="1"/>
  <c r="BT33" i="4" s="1"/>
  <c r="AX33" i="4"/>
  <c r="BR6" i="4"/>
  <c r="BR33" i="4" s="1"/>
  <c r="BG6" i="4"/>
  <c r="BG33" i="4" s="1"/>
  <c r="AV33" i="4"/>
  <c r="BT6" i="2"/>
  <c r="BT33" i="2" s="1"/>
  <c r="AX33" i="2"/>
  <c r="BH6" i="2"/>
  <c r="AW33" i="2"/>
  <c r="BH33" i="2" l="1"/>
  <c r="BS6" i="2"/>
  <c r="BS33" i="2" s="1"/>
  <c r="R6" i="1" l="1"/>
  <c r="AC6" i="1" s="1"/>
  <c r="Q6" i="1"/>
  <c r="AB6" i="1" s="1"/>
  <c r="P6" i="1"/>
  <c r="AA6" i="1" s="1"/>
  <c r="AL6" i="1" s="1"/>
  <c r="AW6" i="1" s="1"/>
  <c r="BH6" i="1" s="1"/>
  <c r="BS6" i="1" s="1"/>
  <c r="O6" i="1"/>
  <c r="Z6" i="1" s="1"/>
  <c r="AK6" i="1" s="1"/>
  <c r="AV6" i="1" s="1"/>
  <c r="BI6" i="1" l="1"/>
  <c r="AM6" i="1"/>
  <c r="AX6" i="1" s="1"/>
  <c r="BT6" i="1" s="1"/>
  <c r="BR6" i="1"/>
  <c r="BG6" i="1"/>
  <c r="AN6" i="1"/>
  <c r="AY6" i="1" s="1"/>
  <c r="BJ6" i="1"/>
  <c r="BU6" i="1" s="1"/>
  <c r="D35" i="1"/>
  <c r="E35" i="1"/>
  <c r="F35" i="1"/>
  <c r="G35" i="1"/>
  <c r="H35" i="1"/>
  <c r="I35" i="1"/>
  <c r="J35" i="1"/>
  <c r="K35" i="1"/>
  <c r="L35" i="1"/>
  <c r="M35" i="1"/>
  <c r="D34" i="1" l="1"/>
  <c r="BR32" i="1"/>
  <c r="BG32" i="1"/>
  <c r="AV32" i="1"/>
  <c r="AK32" i="1"/>
  <c r="Z32" i="1"/>
  <c r="O32" i="1"/>
  <c r="D32" i="1"/>
  <c r="D2" i="1"/>
  <c r="BR5" i="1"/>
  <c r="BG5" i="1"/>
  <c r="AV5" i="1"/>
  <c r="AK5" i="1"/>
  <c r="Z5" i="1"/>
  <c r="O5" i="1"/>
  <c r="D5" i="1"/>
  <c r="CA34" i="1" l="1"/>
  <c r="BZ34" i="1"/>
  <c r="BY34" i="1"/>
  <c r="BX34" i="1"/>
  <c r="BW34" i="1"/>
  <c r="BV34" i="1"/>
  <c r="BU34" i="1"/>
  <c r="BT34" i="1"/>
  <c r="BS34" i="1"/>
  <c r="BR34" i="1"/>
  <c r="CA33" i="1"/>
  <c r="BZ33" i="1"/>
  <c r="BY33" i="1"/>
  <c r="BX33" i="1"/>
  <c r="BW33" i="1"/>
  <c r="BV33" i="1"/>
  <c r="BU33" i="1"/>
  <c r="BT33" i="1"/>
  <c r="BS33" i="1"/>
  <c r="BR33" i="1"/>
  <c r="BP34" i="1"/>
  <c r="BO34" i="1"/>
  <c r="BN34" i="1"/>
  <c r="BM34" i="1"/>
  <c r="BL34" i="1"/>
  <c r="BK34" i="1"/>
  <c r="BJ34" i="1"/>
  <c r="BI34" i="1"/>
  <c r="BH34" i="1"/>
  <c r="BG34" i="1"/>
  <c r="BP33" i="1"/>
  <c r="BO33" i="1"/>
  <c r="BN33" i="1"/>
  <c r="BM33" i="1"/>
  <c r="BL33" i="1"/>
  <c r="BK33" i="1"/>
  <c r="BJ33" i="1"/>
  <c r="BI33" i="1"/>
  <c r="BH33" i="1"/>
  <c r="BG33" i="1"/>
  <c r="BE34" i="1"/>
  <c r="BD34" i="1"/>
  <c r="BC34" i="1"/>
  <c r="BB34" i="1"/>
  <c r="BA34" i="1"/>
  <c r="AZ34" i="1"/>
  <c r="AY34" i="1"/>
  <c r="AX34" i="1"/>
  <c r="AW34" i="1"/>
  <c r="AV34" i="1"/>
  <c r="BE33" i="1"/>
  <c r="BD33" i="1"/>
  <c r="BC33" i="1"/>
  <c r="BB33" i="1"/>
  <c r="BA33" i="1"/>
  <c r="AZ33" i="1"/>
  <c r="AY33" i="1"/>
  <c r="AX33" i="1"/>
  <c r="AW33" i="1"/>
  <c r="AV33" i="1"/>
  <c r="AT34" i="1"/>
  <c r="AS34" i="1"/>
  <c r="AR34" i="1"/>
  <c r="AQ34" i="1"/>
  <c r="AP34" i="1"/>
  <c r="AO34" i="1"/>
  <c r="AN34" i="1"/>
  <c r="AM34" i="1"/>
  <c r="AL34" i="1"/>
  <c r="AK34" i="1"/>
  <c r="AT33" i="1"/>
  <c r="AS33" i="1"/>
  <c r="AR33" i="1"/>
  <c r="AQ33" i="1"/>
  <c r="AP33" i="1"/>
  <c r="AO33" i="1"/>
  <c r="AN33" i="1"/>
  <c r="AM33" i="1"/>
  <c r="AL33" i="1"/>
  <c r="AK33" i="1"/>
  <c r="AI34" i="1"/>
  <c r="AH34" i="1"/>
  <c r="AG34" i="1"/>
  <c r="AF34" i="1"/>
  <c r="AE34" i="1"/>
  <c r="AD34" i="1"/>
  <c r="AC34" i="1"/>
  <c r="AB34" i="1"/>
  <c r="AA34" i="1"/>
  <c r="Z34" i="1"/>
  <c r="AI33" i="1"/>
  <c r="AH33" i="1"/>
  <c r="AG33" i="1"/>
  <c r="AF33" i="1"/>
  <c r="AE33" i="1"/>
  <c r="AD33" i="1"/>
  <c r="AC33" i="1"/>
  <c r="AB33" i="1"/>
  <c r="AA33" i="1"/>
  <c r="Z33" i="1"/>
  <c r="X34" i="1"/>
  <c r="W34" i="1"/>
  <c r="V34" i="1"/>
  <c r="U34" i="1"/>
  <c r="T34" i="1"/>
  <c r="S34" i="1"/>
  <c r="R34" i="1"/>
  <c r="Q34" i="1"/>
  <c r="P34" i="1"/>
  <c r="O34" i="1"/>
  <c r="X33" i="1"/>
  <c r="W33" i="1"/>
  <c r="V33" i="1"/>
  <c r="U33" i="1"/>
  <c r="T33" i="1"/>
  <c r="S33" i="1"/>
  <c r="R33" i="1"/>
  <c r="Q33" i="1"/>
  <c r="P33" i="1"/>
  <c r="O33" i="1"/>
  <c r="L33" i="1" l="1"/>
  <c r="L34" i="1"/>
  <c r="K47" i="1" s="1"/>
  <c r="K39" i="1"/>
  <c r="E34" i="1"/>
  <c r="K40" i="1" s="1"/>
  <c r="F34" i="1"/>
  <c r="K41" i="1" s="1"/>
  <c r="G34" i="1"/>
  <c r="K42" i="1" s="1"/>
  <c r="H34" i="1"/>
  <c r="K43" i="1" s="1"/>
  <c r="I34" i="1"/>
  <c r="K44" i="1" s="1"/>
  <c r="J34" i="1"/>
  <c r="K45" i="1" s="1"/>
  <c r="K34" i="1"/>
  <c r="K46" i="1" s="1"/>
  <c r="M34" i="1"/>
  <c r="K48" i="1" s="1"/>
  <c r="H33" i="1"/>
  <c r="I33" i="1"/>
  <c r="J33" i="1"/>
  <c r="K33" i="1"/>
  <c r="M33" i="1"/>
  <c r="D33" i="1"/>
  <c r="E33" i="1"/>
  <c r="F33" i="1"/>
  <c r="G33" i="1"/>
</calcChain>
</file>

<file path=xl/sharedStrings.xml><?xml version="1.0" encoding="utf-8"?>
<sst xmlns="http://schemas.openxmlformats.org/spreadsheetml/2006/main" count="578" uniqueCount="51">
  <si>
    <t>M &amp; B Vertical S.A.C.</t>
  </si>
  <si>
    <t>HORARIO DE TRABAJO</t>
  </si>
  <si>
    <t xml:space="preserve">                                     </t>
  </si>
  <si>
    <t>NOMBRE</t>
  </si>
  <si>
    <t>DESCANSO</t>
  </si>
  <si>
    <t>MIERCOLES</t>
  </si>
  <si>
    <t>LUNES</t>
  </si>
  <si>
    <t>MARTES</t>
  </si>
  <si>
    <t>JUEVES</t>
  </si>
  <si>
    <t>Horas</t>
  </si>
  <si>
    <t>Horario (sistema)</t>
  </si>
  <si>
    <t>Colocar Fecha Inicio Semana</t>
  </si>
  <si>
    <t>HRS</t>
  </si>
  <si>
    <t>MILA</t>
  </si>
  <si>
    <t xml:space="preserve">ALESSYA </t>
  </si>
  <si>
    <t>AURORA</t>
  </si>
  <si>
    <t>ALEJANDRO</t>
  </si>
  <si>
    <t xml:space="preserve">MILAGROS ROSARIO VILCA SANGA </t>
  </si>
  <si>
    <t>ALESSYA VALENTINA GOMES BEDOYA</t>
  </si>
  <si>
    <t>AURORA CECILIA ALVARADO CERVERA</t>
  </si>
  <si>
    <t xml:space="preserve">ALEJANDRO DAVID VARGAS </t>
  </si>
  <si>
    <t>LINDSAY</t>
  </si>
  <si>
    <t>LINDSAY AYALA MEDINA</t>
  </si>
  <si>
    <t>TRIANA</t>
  </si>
  <si>
    <t>ALEJANDRO DAVID VARGAS</t>
  </si>
  <si>
    <t xml:space="preserve">TRIANA  BABILONIA NUÑEZ DEL PRATDO </t>
  </si>
  <si>
    <t xml:space="preserve"> ALONDRA CASANDRA CARI PINTO </t>
  </si>
  <si>
    <t>ALONDRA</t>
  </si>
  <si>
    <t>BIANCA TEJADA</t>
  </si>
  <si>
    <t>BIANCA</t>
  </si>
  <si>
    <t>BIANACA</t>
  </si>
  <si>
    <t>MICHAEL</t>
  </si>
  <si>
    <t>ANAHY VISA</t>
  </si>
  <si>
    <t>ANAHY</t>
  </si>
  <si>
    <t>ALICIA</t>
  </si>
  <si>
    <t>SANDY</t>
  </si>
  <si>
    <t>VIZA VELASQUEZ ANAHY LEYCI</t>
  </si>
  <si>
    <t>CHACON FLORES MICHAEL RUBEN</t>
  </si>
  <si>
    <t>ALEXA</t>
  </si>
  <si>
    <t>MILAGROS VILCA SANGA</t>
  </si>
  <si>
    <t xml:space="preserve">ALEXA CASTILLO </t>
  </si>
  <si>
    <t>SOFIA</t>
  </si>
  <si>
    <t>HUAHUALUQUE FERIA SOFIA VANESSA</t>
  </si>
  <si>
    <t xml:space="preserve">JHOSELYN </t>
  </si>
  <si>
    <t>JOSE</t>
  </si>
  <si>
    <t xml:space="preserve"> JOSE ISMAEL COAQUIRA VALDIVIA</t>
  </si>
  <si>
    <t>JHOSELYN CACERES ARAUJO</t>
  </si>
  <si>
    <t xml:space="preserve"> ANAHY LEYCI VIZA VELASQUEZ</t>
  </si>
  <si>
    <t>YENI</t>
  </si>
  <si>
    <t>QUISPE HUAYAPA YENI ELVIRA</t>
  </si>
  <si>
    <t>SANDRA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</si>
</sst>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280A]General"/>
    <numFmt numFmtId="165" formatCode="0.0"/>
  </numFmts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b/>
      <sz val="18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rgb="FF000000"/>
      <name val="Calibri"/>
      <family val="2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name val="Calibri"/>
      <family val="2"/>
      <scheme val="minor"/>
    </font>
    <font>
      <i/>
      <sz val="9"/>
      <color theme="0"/>
      <name val="Calibri"/>
      <family val="2"/>
      <scheme val="minor"/>
    </font>
    <font>
      <i/>
      <sz val="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7"/>
      <name val="Calibri"/>
      <family val="2"/>
      <scheme val="minor"/>
    </font>
    <font>
      <sz val="7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90E2F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1233E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EFF8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4" fillId="0" borderId="0" applyBorder="0" applyProtection="0"/>
  </cellStyleXfs>
  <cellXfs count="123">
    <xf numFmtId="0" fontId="0" fillId="0" borderId="0" xfId="0"/>
    <xf numFmtId="20" fontId="2" fillId="3" borderId="1" xfId="0" applyNumberFormat="1" applyFont="1" applyFill="1" applyBorder="1"/>
    <xf numFmtId="0" fontId="3" fillId="0" borderId="0" xfId="0" applyFont="1" applyProtection="1">
      <protection locked="0"/>
    </xf>
    <xf numFmtId="164" fontId="4" fillId="0" borderId="0" xfId="1" applyProtection="1">
      <protection locked="0"/>
    </xf>
    <xf numFmtId="164" fontId="4" fillId="0" borderId="0" xfId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164" fontId="5" fillId="0" borderId="0" xfId="1" applyFont="1" applyProtection="1">
      <protection locked="0"/>
    </xf>
    <xf numFmtId="164" fontId="9" fillId="4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9" fillId="7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9" fillId="8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9" fillId="5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9" fillId="12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9" fillId="9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9" fillId="10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9" fillId="11" borderId="1" xfId="0" applyNumberFormat="1" applyFont="1" applyFill="1" applyBorder="1" applyAlignment="1" applyProtection="1">
      <alignment horizontal="center" vertical="center" textRotation="90" wrapText="1"/>
      <protection locked="0"/>
    </xf>
    <xf numFmtId="164" fontId="13" fillId="4" borderId="1" xfId="0" applyNumberFormat="1" applyFont="1" applyFill="1" applyBorder="1" applyAlignment="1" applyProtection="1">
      <alignment horizontal="center" vertical="center"/>
      <protection locked="0"/>
    </xf>
    <xf numFmtId="164" fontId="13" fillId="7" borderId="1" xfId="0" applyNumberFormat="1" applyFont="1" applyFill="1" applyBorder="1" applyAlignment="1" applyProtection="1">
      <alignment horizontal="center" vertical="center"/>
      <protection locked="0"/>
    </xf>
    <xf numFmtId="164" fontId="13" fillId="8" borderId="1" xfId="0" applyNumberFormat="1" applyFont="1" applyFill="1" applyBorder="1" applyAlignment="1" applyProtection="1">
      <alignment horizontal="center" vertical="center"/>
      <protection locked="0"/>
    </xf>
    <xf numFmtId="164" fontId="13" fillId="5" borderId="1" xfId="0" applyNumberFormat="1" applyFont="1" applyFill="1" applyBorder="1" applyAlignment="1" applyProtection="1">
      <alignment horizontal="center" vertical="center"/>
      <protection locked="0"/>
    </xf>
    <xf numFmtId="164" fontId="13" fillId="12" borderId="1" xfId="0" applyNumberFormat="1" applyFont="1" applyFill="1" applyBorder="1" applyAlignment="1" applyProtection="1">
      <alignment horizontal="center" vertical="center"/>
      <protection locked="0"/>
    </xf>
    <xf numFmtId="164" fontId="13" fillId="9" borderId="1" xfId="0" applyNumberFormat="1" applyFont="1" applyFill="1" applyBorder="1" applyAlignment="1" applyProtection="1">
      <alignment horizontal="center" vertical="center"/>
      <protection locked="0"/>
    </xf>
    <xf numFmtId="164" fontId="13" fillId="10" borderId="1" xfId="0" applyNumberFormat="1" applyFont="1" applyFill="1" applyBorder="1" applyAlignment="1" applyProtection="1">
      <alignment horizontal="center" vertical="center"/>
      <protection locked="0"/>
    </xf>
    <xf numFmtId="164" fontId="13" fillId="11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7" fillId="2" borderId="7" xfId="0" applyFont="1" applyFill="1" applyBorder="1" applyProtection="1">
      <protection locked="0"/>
    </xf>
    <xf numFmtId="0" fontId="7" fillId="2" borderId="0" xfId="0" applyFont="1" applyFill="1" applyProtection="1">
      <protection locked="0"/>
    </xf>
    <xf numFmtId="0" fontId="7" fillId="2" borderId="8" xfId="0" applyFont="1" applyFill="1" applyBorder="1" applyProtection="1">
      <protection locked="0"/>
    </xf>
    <xf numFmtId="164" fontId="4" fillId="0" borderId="0" xfId="1" applyProtection="1"/>
    <xf numFmtId="164" fontId="9" fillId="4" borderId="1" xfId="0" applyNumberFormat="1" applyFont="1" applyFill="1" applyBorder="1" applyAlignment="1">
      <alignment horizontal="center" vertical="center" textRotation="90" wrapText="1"/>
    </xf>
    <xf numFmtId="164" fontId="9" fillId="7" borderId="1" xfId="0" applyNumberFormat="1" applyFont="1" applyFill="1" applyBorder="1" applyAlignment="1">
      <alignment horizontal="center" vertical="center" textRotation="90" wrapText="1"/>
    </xf>
    <xf numFmtId="164" fontId="9" fillId="8" borderId="1" xfId="0" applyNumberFormat="1" applyFont="1" applyFill="1" applyBorder="1" applyAlignment="1">
      <alignment horizontal="center" vertical="center" textRotation="90" wrapText="1"/>
    </xf>
    <xf numFmtId="164" fontId="9" fillId="5" borderId="1" xfId="0" applyNumberFormat="1" applyFont="1" applyFill="1" applyBorder="1" applyAlignment="1">
      <alignment horizontal="center" vertical="center" textRotation="90" wrapText="1"/>
    </xf>
    <xf numFmtId="164" fontId="9" fillId="12" borderId="1" xfId="0" applyNumberFormat="1" applyFont="1" applyFill="1" applyBorder="1" applyAlignment="1">
      <alignment horizontal="center" vertical="center" textRotation="90" wrapText="1"/>
    </xf>
    <xf numFmtId="164" fontId="9" fillId="9" borderId="1" xfId="0" applyNumberFormat="1" applyFont="1" applyFill="1" applyBorder="1" applyAlignment="1">
      <alignment horizontal="center" vertical="center" textRotation="90" wrapText="1"/>
    </xf>
    <xf numFmtId="164" fontId="9" fillId="10" borderId="1" xfId="0" applyNumberFormat="1" applyFont="1" applyFill="1" applyBorder="1" applyAlignment="1">
      <alignment horizontal="center" vertical="center" textRotation="90" wrapText="1"/>
    </xf>
    <xf numFmtId="164" fontId="9" fillId="11" borderId="1" xfId="0" applyNumberFormat="1" applyFont="1" applyFill="1" applyBorder="1" applyAlignment="1">
      <alignment horizontal="center" vertical="center" textRotation="90" wrapText="1"/>
    </xf>
    <xf numFmtId="164" fontId="10" fillId="0" borderId="0" xfId="1" applyFont="1" applyProtection="1"/>
    <xf numFmtId="0" fontId="11" fillId="0" borderId="0" xfId="0" applyFont="1"/>
    <xf numFmtId="0" fontId="0" fillId="0" borderId="0" xfId="0" applyAlignment="1" applyProtection="1">
      <alignment wrapText="1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11" fillId="0" borderId="0" xfId="0" applyFont="1" applyAlignment="1">
      <alignment wrapText="1"/>
    </xf>
    <xf numFmtId="20" fontId="2" fillId="14" borderId="1" xfId="0" applyNumberFormat="1" applyFont="1" applyFill="1" applyBorder="1"/>
    <xf numFmtId="0" fontId="17" fillId="0" borderId="0" xfId="0" applyFont="1"/>
    <xf numFmtId="165" fontId="18" fillId="0" borderId="0" xfId="1" applyNumberFormat="1" applyFont="1" applyProtection="1"/>
    <xf numFmtId="165" fontId="19" fillId="0" borderId="0" xfId="0" applyNumberFormat="1" applyFont="1"/>
    <xf numFmtId="165" fontId="9" fillId="4" borderId="1" xfId="0" applyNumberFormat="1" applyFont="1" applyFill="1" applyBorder="1" applyAlignment="1">
      <alignment horizontal="center" vertical="center"/>
    </xf>
    <xf numFmtId="165" fontId="9" fillId="7" borderId="1" xfId="0" applyNumberFormat="1" applyFont="1" applyFill="1" applyBorder="1" applyAlignment="1">
      <alignment horizontal="center" vertical="center"/>
    </xf>
    <xf numFmtId="165" fontId="9" fillId="8" borderId="1" xfId="0" applyNumberFormat="1" applyFont="1" applyFill="1" applyBorder="1" applyAlignment="1">
      <alignment horizontal="center" vertical="center"/>
    </xf>
    <xf numFmtId="165" fontId="9" fillId="5" borderId="1" xfId="0" applyNumberFormat="1" applyFont="1" applyFill="1" applyBorder="1" applyAlignment="1">
      <alignment horizontal="center" vertical="center"/>
    </xf>
    <xf numFmtId="165" fontId="9" fillId="12" borderId="1" xfId="0" applyNumberFormat="1" applyFont="1" applyFill="1" applyBorder="1" applyAlignment="1">
      <alignment horizontal="center" vertical="center"/>
    </xf>
    <xf numFmtId="165" fontId="9" fillId="9" borderId="1" xfId="0" applyNumberFormat="1" applyFont="1" applyFill="1" applyBorder="1" applyAlignment="1">
      <alignment horizontal="center" vertical="center"/>
    </xf>
    <xf numFmtId="165" fontId="9" fillId="10" borderId="1" xfId="0" applyNumberFormat="1" applyFont="1" applyFill="1" applyBorder="1" applyAlignment="1">
      <alignment horizontal="center" vertical="center"/>
    </xf>
    <xf numFmtId="165" fontId="9" fillId="11" borderId="1" xfId="0" applyNumberFormat="1" applyFont="1" applyFill="1" applyBorder="1" applyAlignment="1">
      <alignment horizontal="center" vertical="center"/>
    </xf>
    <xf numFmtId="165" fontId="13" fillId="4" borderId="1" xfId="0" applyNumberFormat="1" applyFont="1" applyFill="1" applyBorder="1" applyAlignment="1">
      <alignment horizontal="center" vertical="center"/>
    </xf>
    <xf numFmtId="165" fontId="13" fillId="7" borderId="1" xfId="0" applyNumberFormat="1" applyFont="1" applyFill="1" applyBorder="1" applyAlignment="1">
      <alignment horizontal="center" vertical="center"/>
    </xf>
    <xf numFmtId="165" fontId="13" fillId="8" borderId="1" xfId="0" applyNumberFormat="1" applyFont="1" applyFill="1" applyBorder="1" applyAlignment="1">
      <alignment horizontal="center" vertical="center"/>
    </xf>
    <xf numFmtId="165" fontId="13" fillId="5" borderId="1" xfId="0" applyNumberFormat="1" applyFont="1" applyFill="1" applyBorder="1" applyAlignment="1">
      <alignment horizontal="center" vertical="center"/>
    </xf>
    <xf numFmtId="165" fontId="13" fillId="12" borderId="1" xfId="0" applyNumberFormat="1" applyFont="1" applyFill="1" applyBorder="1" applyAlignment="1">
      <alignment horizontal="center" vertical="center"/>
    </xf>
    <xf numFmtId="165" fontId="13" fillId="9" borderId="1" xfId="0" applyNumberFormat="1" applyFont="1" applyFill="1" applyBorder="1" applyAlignment="1">
      <alignment horizontal="center" vertical="center"/>
    </xf>
    <xf numFmtId="165" fontId="13" fillId="10" borderId="1" xfId="0" applyNumberFormat="1" applyFont="1" applyFill="1" applyBorder="1" applyAlignment="1">
      <alignment horizontal="center" vertical="center"/>
    </xf>
    <xf numFmtId="165" fontId="13" fillId="11" borderId="1" xfId="0" applyNumberFormat="1" applyFont="1" applyFill="1" applyBorder="1" applyAlignment="1">
      <alignment horizontal="center" vertical="center"/>
    </xf>
    <xf numFmtId="0" fontId="16" fillId="2" borderId="9" xfId="0" applyFont="1" applyFill="1" applyBorder="1" applyAlignment="1">
      <alignment horizontal="centerContinuous" vertical="center"/>
    </xf>
    <xf numFmtId="164" fontId="6" fillId="2" borderId="0" xfId="0" applyNumberFormat="1" applyFont="1" applyFill="1" applyAlignment="1">
      <alignment horizontal="centerContinuous" vertical="center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164" fontId="20" fillId="7" borderId="1" xfId="0" applyNumberFormat="1" applyFont="1" applyFill="1" applyBorder="1" applyAlignment="1" applyProtection="1">
      <alignment horizontal="center" vertical="center"/>
      <protection locked="0"/>
    </xf>
    <xf numFmtId="164" fontId="20" fillId="8" borderId="1" xfId="0" applyNumberFormat="1" applyFont="1" applyFill="1" applyBorder="1" applyAlignment="1" applyProtection="1">
      <alignment horizontal="center" vertical="center"/>
      <protection locked="0"/>
    </xf>
    <xf numFmtId="164" fontId="20" fillId="5" borderId="1" xfId="0" applyNumberFormat="1" applyFont="1" applyFill="1" applyBorder="1" applyAlignment="1" applyProtection="1">
      <alignment horizontal="center" vertical="center"/>
      <protection locked="0"/>
    </xf>
    <xf numFmtId="164" fontId="20" fillId="12" borderId="1" xfId="0" applyNumberFormat="1" applyFont="1" applyFill="1" applyBorder="1" applyAlignment="1" applyProtection="1">
      <alignment horizontal="center" vertical="center"/>
      <protection locked="0"/>
    </xf>
    <xf numFmtId="164" fontId="20" fillId="9" borderId="1" xfId="0" applyNumberFormat="1" applyFont="1" applyFill="1" applyBorder="1" applyAlignment="1" applyProtection="1">
      <alignment horizontal="center" vertical="center"/>
      <protection locked="0"/>
    </xf>
    <xf numFmtId="164" fontId="20" fillId="10" borderId="1" xfId="0" applyNumberFormat="1" applyFont="1" applyFill="1" applyBorder="1" applyAlignment="1" applyProtection="1">
      <alignment horizontal="center" vertical="center"/>
      <protection locked="0"/>
    </xf>
    <xf numFmtId="164" fontId="20" fillId="11" borderId="1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Font="1" applyProtection="1">
      <protection locked="0"/>
    </xf>
    <xf numFmtId="0" fontId="21" fillId="6" borderId="0" xfId="0" applyFont="1" applyFill="1" applyProtection="1">
      <protection locked="0"/>
    </xf>
    <xf numFmtId="0" fontId="14" fillId="2" borderId="5" xfId="0" applyFont="1" applyFill="1" applyBorder="1" applyAlignment="1" applyProtection="1">
      <alignment horizontal="centerContinuous" vertical="center"/>
      <protection locked="0"/>
    </xf>
    <xf numFmtId="0" fontId="7" fillId="2" borderId="6" xfId="0" applyFont="1" applyFill="1" applyBorder="1" applyAlignment="1" applyProtection="1">
      <alignment horizontal="centerContinuous" vertical="center"/>
      <protection locked="0"/>
    </xf>
    <xf numFmtId="0" fontId="7" fillId="2" borderId="0" xfId="0" applyFont="1" applyFill="1" applyAlignment="1" applyProtection="1">
      <alignment horizontal="centerContinuous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22" fillId="13" borderId="1" xfId="0" applyFont="1" applyFill="1" applyBorder="1" applyAlignment="1">
      <alignment horizontal="center" vertical="center" wrapText="1"/>
    </xf>
    <xf numFmtId="0" fontId="2" fillId="0" borderId="0" xfId="0" applyFont="1" applyAlignment="1" applyProtection="1">
      <alignment vertical="center"/>
      <protection locked="0"/>
    </xf>
    <xf numFmtId="164" fontId="13" fillId="5" borderId="2" xfId="0" applyNumberFormat="1" applyFont="1" applyFill="1" applyBorder="1" applyAlignment="1" applyProtection="1">
      <alignment horizontal="center" vertical="center"/>
      <protection locked="0"/>
    </xf>
    <xf numFmtId="164" fontId="13" fillId="5" borderId="3" xfId="0" applyNumberFormat="1" applyFont="1" applyFill="1" applyBorder="1" applyAlignment="1" applyProtection="1">
      <alignment horizontal="center" vertical="center"/>
      <protection locked="0"/>
    </xf>
    <xf numFmtId="164" fontId="13" fillId="5" borderId="4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164" fontId="13" fillId="11" borderId="2" xfId="0" applyNumberFormat="1" applyFont="1" applyFill="1" applyBorder="1" applyAlignment="1" applyProtection="1">
      <alignment horizontal="center" vertical="center"/>
      <protection locked="0"/>
    </xf>
    <xf numFmtId="164" fontId="13" fillId="11" borderId="3" xfId="0" applyNumberFormat="1" applyFont="1" applyFill="1" applyBorder="1" applyAlignment="1" applyProtection="1">
      <alignment horizontal="center" vertical="center"/>
      <protection locked="0"/>
    </xf>
    <xf numFmtId="164" fontId="13" fillId="11" borderId="4" xfId="0" applyNumberFormat="1" applyFont="1" applyFill="1" applyBorder="1" applyAlignment="1" applyProtection="1">
      <alignment horizontal="center" vertical="center"/>
      <protection locked="0"/>
    </xf>
    <xf numFmtId="164" fontId="13" fillId="9" borderId="2" xfId="0" applyNumberFormat="1" applyFont="1" applyFill="1" applyBorder="1" applyAlignment="1" applyProtection="1">
      <alignment horizontal="center" vertical="center"/>
      <protection locked="0"/>
    </xf>
    <xf numFmtId="164" fontId="13" fillId="9" borderId="3" xfId="0" applyNumberFormat="1" applyFont="1" applyFill="1" applyBorder="1" applyAlignment="1" applyProtection="1">
      <alignment horizontal="center" vertical="center"/>
      <protection locked="0"/>
    </xf>
    <xf numFmtId="164" fontId="13" fillId="9" borderId="4" xfId="0" applyNumberFormat="1" applyFont="1" applyFill="1" applyBorder="1" applyAlignment="1" applyProtection="1">
      <alignment horizontal="center" vertical="center"/>
      <protection locked="0"/>
    </xf>
    <xf numFmtId="164" fontId="13" fillId="8" borderId="2" xfId="0" applyNumberFormat="1" applyFont="1" applyFill="1" applyBorder="1" applyAlignment="1" applyProtection="1">
      <alignment horizontal="center" vertical="center"/>
      <protection locked="0"/>
    </xf>
    <xf numFmtId="164" fontId="13" fillId="8" borderId="3" xfId="0" applyNumberFormat="1" applyFont="1" applyFill="1" applyBorder="1" applyAlignment="1" applyProtection="1">
      <alignment horizontal="center" vertical="center"/>
      <protection locked="0"/>
    </xf>
    <xf numFmtId="164" fontId="13" fillId="8" borderId="4" xfId="0" applyNumberFormat="1" applyFont="1" applyFill="1" applyBorder="1" applyAlignment="1" applyProtection="1">
      <alignment horizontal="center" vertical="center"/>
      <protection locked="0"/>
    </xf>
    <xf numFmtId="164" fontId="0" fillId="0" borderId="2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 applyProtection="1">
      <alignment horizontal="center"/>
      <protection locked="0"/>
    </xf>
    <xf numFmtId="164" fontId="0" fillId="0" borderId="4" xfId="0" applyNumberFormat="1" applyBorder="1" applyAlignment="1" applyProtection="1">
      <alignment horizontal="center"/>
      <protection locked="0"/>
    </xf>
    <xf numFmtId="164" fontId="13" fillId="10" borderId="2" xfId="0" applyNumberFormat="1" applyFont="1" applyFill="1" applyBorder="1" applyAlignment="1" applyProtection="1">
      <alignment horizontal="center" vertical="center"/>
      <protection locked="0"/>
    </xf>
    <xf numFmtId="164" fontId="13" fillId="10" borderId="3" xfId="0" applyNumberFormat="1" applyFont="1" applyFill="1" applyBorder="1" applyAlignment="1" applyProtection="1">
      <alignment horizontal="center" vertical="center"/>
      <protection locked="0"/>
    </xf>
    <xf numFmtId="164" fontId="13" fillId="10" borderId="4" xfId="0" applyNumberFormat="1" applyFont="1" applyFill="1" applyBorder="1" applyAlignment="1" applyProtection="1">
      <alignment horizontal="center" vertical="center"/>
      <protection locked="0"/>
    </xf>
    <xf numFmtId="164" fontId="22" fillId="0" borderId="2" xfId="0" applyNumberFormat="1" applyFont="1" applyBorder="1" applyAlignment="1" applyProtection="1">
      <alignment horizontal="center"/>
      <protection locked="0"/>
    </xf>
    <xf numFmtId="164" fontId="22" fillId="0" borderId="3" xfId="0" applyNumberFormat="1" applyFont="1" applyBorder="1" applyAlignment="1" applyProtection="1">
      <alignment horizontal="center"/>
      <protection locked="0"/>
    </xf>
    <xf numFmtId="164" fontId="22" fillId="0" borderId="4" xfId="0" applyNumberFormat="1" applyFont="1" applyBorder="1" applyAlignment="1" applyProtection="1">
      <alignment horizontal="center"/>
      <protection locked="0"/>
    </xf>
    <xf numFmtId="164" fontId="13" fillId="12" borderId="2" xfId="0" applyNumberFormat="1" applyFont="1" applyFill="1" applyBorder="1" applyAlignment="1" applyProtection="1">
      <alignment horizontal="center" vertical="center"/>
      <protection locked="0"/>
    </xf>
    <xf numFmtId="164" fontId="13" fillId="12" borderId="3" xfId="0" applyNumberFormat="1" applyFont="1" applyFill="1" applyBorder="1" applyAlignment="1" applyProtection="1">
      <alignment horizontal="center" vertical="center"/>
      <protection locked="0"/>
    </xf>
    <xf numFmtId="164" fontId="13" fillId="12" borderId="4" xfId="0" applyNumberFormat="1" applyFont="1" applyFill="1" applyBorder="1" applyAlignment="1" applyProtection="1">
      <alignment horizontal="center" vertical="center"/>
      <protection locked="0"/>
    </xf>
    <xf numFmtId="164" fontId="12" fillId="5" borderId="1" xfId="0" applyNumberFormat="1" applyFont="1" applyFill="1" applyBorder="1" applyAlignment="1">
      <alignment horizontal="center" vertical="center" wrapText="1"/>
    </xf>
    <xf numFmtId="164" fontId="12" fillId="11" borderId="1" xfId="0" applyNumberFormat="1" applyFont="1" applyFill="1" applyBorder="1" applyAlignment="1">
      <alignment horizontal="center" vertical="center" wrapText="1"/>
    </xf>
    <xf numFmtId="164" fontId="13" fillId="4" borderId="2" xfId="0" applyNumberFormat="1" applyFont="1" applyFill="1" applyBorder="1" applyAlignment="1" applyProtection="1">
      <alignment horizontal="center" vertical="center"/>
      <protection locked="0"/>
    </xf>
    <xf numFmtId="164" fontId="13" fillId="4" borderId="3" xfId="0" applyNumberFormat="1" applyFont="1" applyFill="1" applyBorder="1" applyAlignment="1" applyProtection="1">
      <alignment horizontal="center" vertical="center"/>
      <protection locked="0"/>
    </xf>
    <xf numFmtId="164" fontId="13" fillId="4" borderId="4" xfId="0" applyNumberFormat="1" applyFont="1" applyFill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/>
      <protection locked="0"/>
    </xf>
    <xf numFmtId="164" fontId="13" fillId="7" borderId="2" xfId="0" applyNumberFormat="1" applyFont="1" applyFill="1" applyBorder="1" applyAlignment="1" applyProtection="1">
      <alignment horizontal="center" vertical="center"/>
      <protection locked="0"/>
    </xf>
    <xf numFmtId="164" fontId="13" fillId="7" borderId="3" xfId="0" applyNumberFormat="1" applyFont="1" applyFill="1" applyBorder="1" applyAlignment="1" applyProtection="1">
      <alignment horizontal="center" vertical="center"/>
      <protection locked="0"/>
    </xf>
    <xf numFmtId="164" fontId="13" fillId="7" borderId="4" xfId="0" applyNumberFormat="1" applyFont="1" applyFill="1" applyBorder="1" applyAlignment="1" applyProtection="1">
      <alignment horizontal="center" vertical="center"/>
      <protection locked="0"/>
    </xf>
    <xf numFmtId="164" fontId="12" fillId="8" borderId="1" xfId="0" applyNumberFormat="1" applyFont="1" applyFill="1" applyBorder="1" applyAlignment="1">
      <alignment horizontal="center" vertical="center" wrapText="1"/>
    </xf>
    <xf numFmtId="164" fontId="12" fillId="12" borderId="1" xfId="0" applyNumberFormat="1" applyFont="1" applyFill="1" applyBorder="1" applyAlignment="1">
      <alignment horizontal="center" vertical="center" wrapText="1"/>
    </xf>
    <xf numFmtId="164" fontId="12" fillId="9" borderId="1" xfId="0" applyNumberFormat="1" applyFont="1" applyFill="1" applyBorder="1" applyAlignment="1">
      <alignment horizontal="center" vertical="center" wrapText="1"/>
    </xf>
    <xf numFmtId="164" fontId="12" fillId="10" borderId="1" xfId="0" applyNumberFormat="1" applyFont="1" applyFill="1" applyBorder="1" applyAlignment="1">
      <alignment horizontal="center" vertical="center" wrapText="1"/>
    </xf>
    <xf numFmtId="164" fontId="12" fillId="4" borderId="1" xfId="0" applyNumberFormat="1" applyFont="1" applyFill="1" applyBorder="1" applyAlignment="1">
      <alignment horizontal="center" vertical="center" wrapText="1"/>
    </xf>
    <xf numFmtId="164" fontId="12" fillId="7" borderId="1" xfId="0" applyNumberFormat="1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</cellXfs>
  <cellStyles count="2">
    <cellStyle name="Excel Built-in Normal" xfId="1" xr:uid="{DC3C7A4C-2BEC-4E1E-AA9F-2BE92369A89F}"/>
    <cellStyle name="Normal" xfId="0" builtinId="0"/>
  </cellStyles>
  <dxfs count="371"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  <dxf>
      <font>
        <color theme="2" tint="-0.24994659260841701"/>
      </font>
      <fill>
        <patternFill>
          <bgColor theme="2"/>
        </patternFill>
      </fill>
      <border>
        <left style="hair">
          <color theme="0"/>
        </left>
        <right style="hair">
          <color theme="0"/>
        </right>
        <top style="hair">
          <color theme="0"/>
        </top>
        <bottom style="hair">
          <color theme="0"/>
        </bottom>
      </border>
    </dxf>
    <dxf>
      <font>
        <color auto="1"/>
      </font>
      <fill>
        <patternFill>
          <bgColor theme="1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C0EFF8"/>
      <color rgb="FFFF8F8F"/>
      <color rgb="FFE123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87DB5-9D7E-4FD1-84A1-32544B7394B4}">
  <sheetPr codeName="Hoja1"/>
  <dimension ref="A1:CA48"/>
  <sheetViews>
    <sheetView showGridLines="0" zoomScale="70" zoomScaleNormal="70" workbookViewId="0">
      <pane xSplit="3" ySplit="6" topLeftCell="D13" activePane="bottomRight" state="frozen"/>
      <selection pane="topRight" activeCell="D1" sqref="D1"/>
      <selection pane="bottomLeft" activeCell="A8" sqref="A8"/>
      <selection pane="bottomRight" activeCell="BR23" sqref="BR23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02 DE MARZO AL 08 DE MARZO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46083</v>
      </c>
      <c r="D5" s="63" t="str">
        <f>CONCATENATE("Lunes ",TEXT(DAY(C5),"00"))</f>
        <v>Lunes 02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03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04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05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06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07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08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13</v>
      </c>
      <c r="E6" s="9" t="s">
        <v>14</v>
      </c>
      <c r="F6" s="10" t="s">
        <v>15</v>
      </c>
      <c r="G6" s="11" t="s">
        <v>16</v>
      </c>
      <c r="H6" s="12"/>
      <c r="I6" s="13"/>
      <c r="J6" s="10"/>
      <c r="K6" s="14"/>
      <c r="L6" s="11"/>
      <c r="M6" s="15"/>
      <c r="O6" s="8" t="str">
        <f>D6</f>
        <v>MILA</v>
      </c>
      <c r="P6" s="9" t="str">
        <f>E6</f>
        <v xml:space="preserve">ALESSYA </v>
      </c>
      <c r="Q6" s="10" t="str">
        <f>F6</f>
        <v>AURORA</v>
      </c>
      <c r="R6" s="11" t="str">
        <f>G6</f>
        <v>ALEJANDRO</v>
      </c>
      <c r="S6" s="12"/>
      <c r="T6" s="13"/>
      <c r="U6" s="10"/>
      <c r="V6" s="14"/>
      <c r="W6" s="11"/>
      <c r="X6" s="15"/>
      <c r="Z6" s="8" t="str">
        <f>O6</f>
        <v>MILA</v>
      </c>
      <c r="AA6" s="9" t="str">
        <f>P6</f>
        <v xml:space="preserve">ALESSYA </v>
      </c>
      <c r="AB6" s="10" t="str">
        <f>Q6</f>
        <v>AURORA</v>
      </c>
      <c r="AC6" s="11" t="str">
        <f>R6</f>
        <v>ALEJANDRO</v>
      </c>
      <c r="AD6" s="12"/>
      <c r="AE6" s="13"/>
      <c r="AF6" s="10"/>
      <c r="AG6" s="14"/>
      <c r="AH6" s="11"/>
      <c r="AI6" s="15"/>
      <c r="AK6" s="8" t="str">
        <f>Z6</f>
        <v>MILA</v>
      </c>
      <c r="AL6" s="9" t="str">
        <f>AA6</f>
        <v xml:space="preserve">ALESSYA </v>
      </c>
      <c r="AM6" s="10" t="str">
        <f>AB6</f>
        <v>AURORA</v>
      </c>
      <c r="AN6" s="11" t="str">
        <f>AC6</f>
        <v>ALEJANDRO</v>
      </c>
      <c r="AO6" s="12"/>
      <c r="AP6" s="13"/>
      <c r="AQ6" s="10"/>
      <c r="AR6" s="14"/>
      <c r="AS6" s="11"/>
      <c r="AT6" s="15"/>
      <c r="AV6" s="8" t="str">
        <f>AK6</f>
        <v>MILA</v>
      </c>
      <c r="AW6" s="9" t="str">
        <f>AL6</f>
        <v xml:space="preserve">ALESSYA </v>
      </c>
      <c r="AX6" s="10" t="str">
        <f>AM6</f>
        <v>AURORA</v>
      </c>
      <c r="AY6" s="11" t="str">
        <f>AN6</f>
        <v>ALEJANDRO</v>
      </c>
      <c r="AZ6" s="12"/>
      <c r="BA6" s="13"/>
      <c r="BB6" s="10"/>
      <c r="BC6" s="14"/>
      <c r="BD6" s="11"/>
      <c r="BE6" s="15"/>
      <c r="BG6" s="8" t="str">
        <f>AV6</f>
        <v>MILA</v>
      </c>
      <c r="BH6" s="9" t="str">
        <f>AW6</f>
        <v xml:space="preserve">ALESSYA </v>
      </c>
      <c r="BI6" s="10" t="str">
        <f>AB6</f>
        <v>AURORA</v>
      </c>
      <c r="BJ6" s="11" t="str">
        <f>AC6</f>
        <v>ALEJANDRO</v>
      </c>
      <c r="BK6" s="12"/>
      <c r="BL6" s="13"/>
      <c r="BM6" s="10"/>
      <c r="BN6" s="14"/>
      <c r="BO6" s="11"/>
      <c r="BP6" s="15"/>
      <c r="BR6" s="8" t="str">
        <f>AV6</f>
        <v>MILA</v>
      </c>
      <c r="BS6" s="9" t="str">
        <f>BH6</f>
        <v xml:space="preserve">ALESSYA </v>
      </c>
      <c r="BT6" s="10" t="str">
        <f>AX6</f>
        <v>AURORA</v>
      </c>
      <c r="BU6" s="11" t="str">
        <f>BJ6</f>
        <v>ALEJANDRO</v>
      </c>
      <c r="BV6" s="12"/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/>
      <c r="BB14" s="18"/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/>
      <c r="H15" s="69"/>
      <c r="I15" s="70"/>
      <c r="J15" s="67"/>
      <c r="K15" s="71"/>
      <c r="L15" s="68"/>
      <c r="M15" s="72"/>
      <c r="N15" s="73"/>
      <c r="O15" s="65">
        <v>0.5</v>
      </c>
      <c r="P15" s="66">
        <v>0.5</v>
      </c>
      <c r="Q15" s="67"/>
      <c r="R15" s="68"/>
      <c r="S15" s="69"/>
      <c r="T15" s="70"/>
      <c r="U15" s="67"/>
      <c r="V15" s="71"/>
      <c r="W15" s="68"/>
      <c r="X15" s="72"/>
      <c r="Y15" s="73"/>
      <c r="Z15" s="65">
        <v>0.5</v>
      </c>
      <c r="AA15" s="66">
        <v>0.5</v>
      </c>
      <c r="AB15" s="67"/>
      <c r="AC15" s="68"/>
      <c r="AD15" s="69"/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/>
      <c r="BI15" s="67"/>
      <c r="BJ15" s="68"/>
      <c r="BK15" s="69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/>
      <c r="F16" s="67"/>
      <c r="G16" s="68"/>
      <c r="H16" s="69"/>
      <c r="I16" s="70"/>
      <c r="J16" s="67"/>
      <c r="K16" s="71"/>
      <c r="L16" s="68"/>
      <c r="M16" s="72"/>
      <c r="N16" s="73"/>
      <c r="O16" s="65">
        <v>1</v>
      </c>
      <c r="P16" s="66">
        <v>1</v>
      </c>
      <c r="Q16" s="67"/>
      <c r="R16" s="68"/>
      <c r="S16" s="69"/>
      <c r="T16" s="70"/>
      <c r="U16" s="67"/>
      <c r="V16" s="71"/>
      <c r="W16" s="68"/>
      <c r="X16" s="72"/>
      <c r="Y16" s="73"/>
      <c r="Z16" s="65">
        <v>0.5</v>
      </c>
      <c r="AA16" s="66">
        <v>0.5</v>
      </c>
      <c r="AB16" s="67"/>
      <c r="AC16" s="68"/>
      <c r="AD16" s="69"/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6"/>
      <c r="BI16" s="67"/>
      <c r="BJ16" s="68"/>
      <c r="BK16" s="69"/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>
        <v>1</v>
      </c>
      <c r="E17" s="66"/>
      <c r="F17" s="67"/>
      <c r="G17" s="68"/>
      <c r="H17" s="69"/>
      <c r="I17" s="70"/>
      <c r="J17" s="67"/>
      <c r="K17" s="71"/>
      <c r="L17" s="68"/>
      <c r="M17" s="72"/>
      <c r="N17" s="73"/>
      <c r="O17" s="65"/>
      <c r="P17" s="66"/>
      <c r="Q17" s="67"/>
      <c r="R17" s="68">
        <v>1</v>
      </c>
      <c r="S17" s="69"/>
      <c r="T17" s="70"/>
      <c r="U17" s="67"/>
      <c r="V17" s="71"/>
      <c r="W17" s="68"/>
      <c r="X17" s="72"/>
      <c r="Y17" s="73"/>
      <c r="Z17" s="65">
        <v>1</v>
      </c>
      <c r="AA17" s="66"/>
      <c r="AB17" s="67"/>
      <c r="AC17" s="68"/>
      <c r="AD17" s="69"/>
      <c r="AE17" s="70"/>
      <c r="AF17" s="67"/>
      <c r="AG17" s="71"/>
      <c r="AH17" s="68"/>
      <c r="AI17" s="72"/>
      <c r="AJ17" s="73"/>
      <c r="AK17" s="65"/>
      <c r="AL17" s="66"/>
      <c r="AM17" s="67"/>
      <c r="AN17" s="68">
        <v>1</v>
      </c>
      <c r="AO17" s="69"/>
      <c r="AP17" s="70"/>
      <c r="AQ17" s="67"/>
      <c r="AR17" s="71"/>
      <c r="AS17" s="68"/>
      <c r="AT17" s="72"/>
      <c r="AU17" s="73"/>
      <c r="AV17" s="65"/>
      <c r="AW17" s="66"/>
      <c r="AX17" s="67">
        <v>1</v>
      </c>
      <c r="AY17" s="68">
        <v>1</v>
      </c>
      <c r="AZ17" s="69"/>
      <c r="BA17" s="70"/>
      <c r="BB17" s="67"/>
      <c r="BC17" s="71"/>
      <c r="BD17" s="68"/>
      <c r="BE17" s="72"/>
      <c r="BF17" s="73"/>
      <c r="BG17" s="65"/>
      <c r="BH17" s="66">
        <v>1</v>
      </c>
      <c r="BI17" s="67"/>
      <c r="BJ17" s="68">
        <v>1</v>
      </c>
      <c r="BK17" s="69"/>
      <c r="BL17" s="70"/>
      <c r="BM17" s="67"/>
      <c r="BN17" s="71"/>
      <c r="BO17" s="68"/>
      <c r="BP17" s="72"/>
      <c r="BQ17" s="73"/>
      <c r="BR17" s="65"/>
      <c r="BS17" s="66"/>
      <c r="BT17" s="67">
        <v>1</v>
      </c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>
        <v>1</v>
      </c>
      <c r="E18" s="66"/>
      <c r="F18" s="67"/>
      <c r="G18" s="68"/>
      <c r="H18" s="69"/>
      <c r="I18" s="70"/>
      <c r="J18" s="67"/>
      <c r="K18" s="71"/>
      <c r="L18" s="68"/>
      <c r="M18" s="72"/>
      <c r="N18" s="73"/>
      <c r="O18" s="65"/>
      <c r="P18" s="66"/>
      <c r="Q18" s="67"/>
      <c r="R18" s="68">
        <v>1</v>
      </c>
      <c r="S18" s="69"/>
      <c r="T18" s="70"/>
      <c r="U18" s="67"/>
      <c r="V18" s="71"/>
      <c r="W18" s="68"/>
      <c r="X18" s="72"/>
      <c r="Y18" s="73"/>
      <c r="Z18" s="65">
        <v>1</v>
      </c>
      <c r="AA18" s="66"/>
      <c r="AB18" s="67"/>
      <c r="AC18" s="68"/>
      <c r="AD18" s="69"/>
      <c r="AE18" s="70"/>
      <c r="AF18" s="67"/>
      <c r="AG18" s="71"/>
      <c r="AH18" s="68"/>
      <c r="AI18" s="72"/>
      <c r="AJ18" s="73"/>
      <c r="AK18" s="65"/>
      <c r="AL18" s="66">
        <v>1</v>
      </c>
      <c r="AM18" s="67"/>
      <c r="AN18" s="68">
        <v>1</v>
      </c>
      <c r="AO18" s="69"/>
      <c r="AP18" s="70"/>
      <c r="AQ18" s="67"/>
      <c r="AR18" s="71"/>
      <c r="AS18" s="68"/>
      <c r="AT18" s="72"/>
      <c r="AU18" s="73"/>
      <c r="AV18" s="65"/>
      <c r="AW18" s="66"/>
      <c r="AX18" s="67">
        <v>1</v>
      </c>
      <c r="AY18" s="68">
        <v>1</v>
      </c>
      <c r="AZ18" s="69"/>
      <c r="BA18" s="70"/>
      <c r="BB18" s="67"/>
      <c r="BC18" s="71"/>
      <c r="BD18" s="68"/>
      <c r="BE18" s="72"/>
      <c r="BF18" s="73"/>
      <c r="BG18" s="65"/>
      <c r="BH18" s="66">
        <v>1</v>
      </c>
      <c r="BI18" s="67"/>
      <c r="BJ18" s="68">
        <v>1</v>
      </c>
      <c r="BK18" s="69"/>
      <c r="BL18" s="70"/>
      <c r="BM18" s="67"/>
      <c r="BN18" s="71"/>
      <c r="BO18" s="68"/>
      <c r="BP18" s="72"/>
      <c r="BQ18" s="73"/>
      <c r="BR18" s="65"/>
      <c r="BS18" s="66"/>
      <c r="BT18" s="67">
        <v>1</v>
      </c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>
        <v>1</v>
      </c>
      <c r="E19" s="66">
        <v>1</v>
      </c>
      <c r="F19" s="67"/>
      <c r="G19" s="68"/>
      <c r="H19" s="69"/>
      <c r="I19" s="70"/>
      <c r="J19" s="67"/>
      <c r="K19" s="71"/>
      <c r="L19" s="68"/>
      <c r="M19" s="72"/>
      <c r="N19" s="73"/>
      <c r="O19" s="65"/>
      <c r="P19" s="66"/>
      <c r="Q19" s="67"/>
      <c r="R19" s="68">
        <v>1</v>
      </c>
      <c r="S19" s="69"/>
      <c r="T19" s="70"/>
      <c r="U19" s="67"/>
      <c r="V19" s="71"/>
      <c r="W19" s="68"/>
      <c r="X19" s="72"/>
      <c r="Y19" s="73"/>
      <c r="Z19" s="65">
        <v>1</v>
      </c>
      <c r="AA19" s="66"/>
      <c r="AB19" s="67"/>
      <c r="AC19" s="68"/>
      <c r="AD19" s="69"/>
      <c r="AE19" s="70"/>
      <c r="AF19" s="67"/>
      <c r="AG19" s="71"/>
      <c r="AH19" s="68"/>
      <c r="AI19" s="72"/>
      <c r="AJ19" s="73"/>
      <c r="AK19" s="65"/>
      <c r="AL19" s="66">
        <v>1</v>
      </c>
      <c r="AM19" s="67"/>
      <c r="AN19" s="68">
        <v>1</v>
      </c>
      <c r="AO19" s="69"/>
      <c r="AP19" s="70"/>
      <c r="AQ19" s="67"/>
      <c r="AR19" s="71"/>
      <c r="AS19" s="68"/>
      <c r="AT19" s="72"/>
      <c r="AU19" s="73"/>
      <c r="AV19" s="65"/>
      <c r="AW19" s="66"/>
      <c r="AX19" s="67">
        <v>1</v>
      </c>
      <c r="AY19" s="68">
        <v>1</v>
      </c>
      <c r="AZ19" s="69"/>
      <c r="BA19" s="70"/>
      <c r="BB19" s="67"/>
      <c r="BC19" s="71"/>
      <c r="BD19" s="68"/>
      <c r="BE19" s="72"/>
      <c r="BF19" s="73"/>
      <c r="BG19" s="65"/>
      <c r="BH19" s="66">
        <v>1</v>
      </c>
      <c r="BI19" s="67"/>
      <c r="BJ19" s="68">
        <v>1</v>
      </c>
      <c r="BK19" s="69"/>
      <c r="BL19" s="70"/>
      <c r="BM19" s="67"/>
      <c r="BN19" s="71"/>
      <c r="BO19" s="68"/>
      <c r="BP19" s="72"/>
      <c r="BQ19" s="73"/>
      <c r="BR19" s="65"/>
      <c r="BS19" s="66"/>
      <c r="BT19" s="67">
        <v>1</v>
      </c>
      <c r="BU19" s="68"/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>
        <v>1</v>
      </c>
      <c r="F20" s="67"/>
      <c r="G20" s="68"/>
      <c r="H20" s="69"/>
      <c r="I20" s="70"/>
      <c r="J20" s="67"/>
      <c r="K20" s="71"/>
      <c r="L20" s="68"/>
      <c r="M20" s="72"/>
      <c r="N20" s="74"/>
      <c r="O20" s="65"/>
      <c r="P20" s="66">
        <v>1</v>
      </c>
      <c r="Q20" s="67"/>
      <c r="R20" s="68"/>
      <c r="S20" s="69"/>
      <c r="T20" s="70"/>
      <c r="U20" s="67"/>
      <c r="V20" s="71"/>
      <c r="W20" s="68"/>
      <c r="X20" s="72"/>
      <c r="Y20" s="74"/>
      <c r="Z20" s="65"/>
      <c r="AA20" s="66"/>
      <c r="AB20" s="67">
        <v>1</v>
      </c>
      <c r="AC20" s="68"/>
      <c r="AD20" s="69"/>
      <c r="AE20" s="70"/>
      <c r="AF20" s="67"/>
      <c r="AG20" s="71"/>
      <c r="AH20" s="68"/>
      <c r="AI20" s="72"/>
      <c r="AJ20" s="74"/>
      <c r="AK20" s="65"/>
      <c r="AL20" s="66">
        <v>1</v>
      </c>
      <c r="AM20" s="67"/>
      <c r="AN20" s="68"/>
      <c r="AO20" s="69"/>
      <c r="AP20" s="70"/>
      <c r="AQ20" s="67"/>
      <c r="AR20" s="71"/>
      <c r="AS20" s="68"/>
      <c r="AT20" s="72"/>
      <c r="AU20" s="74"/>
      <c r="AV20" s="65"/>
      <c r="AW20" s="66"/>
      <c r="AX20" s="67">
        <v>1</v>
      </c>
      <c r="AY20" s="68">
        <v>1</v>
      </c>
      <c r="AZ20" s="69"/>
      <c r="BA20" s="70"/>
      <c r="BB20" s="67"/>
      <c r="BC20" s="71"/>
      <c r="BD20" s="68"/>
      <c r="BE20" s="72"/>
      <c r="BF20" s="74"/>
      <c r="BG20" s="65"/>
      <c r="BH20" s="66">
        <v>1</v>
      </c>
      <c r="BI20" s="67"/>
      <c r="BJ20" s="68">
        <v>1</v>
      </c>
      <c r="BK20" s="69"/>
      <c r="BL20" s="70"/>
      <c r="BM20" s="67"/>
      <c r="BN20" s="71"/>
      <c r="BO20" s="68"/>
      <c r="BP20" s="72"/>
      <c r="BQ20" s="74"/>
      <c r="BR20" s="65"/>
      <c r="BS20" s="66"/>
      <c r="BT20" s="67">
        <v>0.5</v>
      </c>
      <c r="BU20" s="68"/>
      <c r="BV20" s="69"/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>
        <v>1</v>
      </c>
      <c r="E21" s="66"/>
      <c r="F21" s="67"/>
      <c r="G21" s="68"/>
      <c r="H21" s="69"/>
      <c r="I21" s="70"/>
      <c r="J21" s="67"/>
      <c r="K21" s="71"/>
      <c r="L21" s="68"/>
      <c r="M21" s="72"/>
      <c r="N21" s="73"/>
      <c r="O21" s="65"/>
      <c r="P21" s="66"/>
      <c r="Q21" s="67"/>
      <c r="R21" s="68">
        <v>1</v>
      </c>
      <c r="S21" s="69"/>
      <c r="T21" s="70"/>
      <c r="U21" s="67"/>
      <c r="V21" s="71"/>
      <c r="W21" s="68"/>
      <c r="X21" s="72"/>
      <c r="Y21" s="73"/>
      <c r="Z21" s="65">
        <v>1</v>
      </c>
      <c r="AA21" s="66"/>
      <c r="AB21" s="67"/>
      <c r="AC21" s="68"/>
      <c r="AD21" s="69"/>
      <c r="AE21" s="70"/>
      <c r="AF21" s="67"/>
      <c r="AG21" s="71"/>
      <c r="AH21" s="68"/>
      <c r="AI21" s="72"/>
      <c r="AJ21" s="73"/>
      <c r="AK21" s="65">
        <v>1</v>
      </c>
      <c r="AL21" s="66"/>
      <c r="AM21" s="67"/>
      <c r="AN21" s="68">
        <v>1</v>
      </c>
      <c r="AO21" s="69"/>
      <c r="AP21" s="70"/>
      <c r="AQ21" s="67"/>
      <c r="AR21" s="71"/>
      <c r="AS21" s="68"/>
      <c r="AT21" s="72"/>
      <c r="AU21" s="73"/>
      <c r="AV21" s="65"/>
      <c r="AW21" s="66">
        <v>1</v>
      </c>
      <c r="AX21" s="67"/>
      <c r="AY21" s="68">
        <v>1</v>
      </c>
      <c r="AZ21" s="69"/>
      <c r="BA21" s="70"/>
      <c r="BB21" s="67"/>
      <c r="BC21" s="71"/>
      <c r="BD21" s="68"/>
      <c r="BE21" s="72"/>
      <c r="BF21" s="73"/>
      <c r="BG21" s="65"/>
      <c r="BH21" s="66">
        <v>1</v>
      </c>
      <c r="BI21" s="67"/>
      <c r="BJ21" s="68"/>
      <c r="BK21" s="69"/>
      <c r="BL21" s="70"/>
      <c r="BM21" s="67"/>
      <c r="BN21" s="71"/>
      <c r="BO21" s="68"/>
      <c r="BP21" s="72"/>
      <c r="BQ21" s="73"/>
      <c r="BR21" s="65"/>
      <c r="BS21" s="66">
        <v>1</v>
      </c>
      <c r="BT21" s="67"/>
      <c r="BU21" s="68"/>
      <c r="BV21" s="69"/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>
        <v>1</v>
      </c>
      <c r="E22" s="66">
        <v>1</v>
      </c>
      <c r="F22" s="67"/>
      <c r="G22" s="68"/>
      <c r="H22" s="69"/>
      <c r="I22" s="70"/>
      <c r="J22" s="67"/>
      <c r="K22" s="71"/>
      <c r="L22" s="68"/>
      <c r="M22" s="72"/>
      <c r="N22" s="73"/>
      <c r="O22" s="65"/>
      <c r="P22" s="66">
        <v>1</v>
      </c>
      <c r="Q22" s="67"/>
      <c r="R22" s="68">
        <v>1</v>
      </c>
      <c r="S22" s="69"/>
      <c r="T22" s="70"/>
      <c r="U22" s="67"/>
      <c r="V22" s="71"/>
      <c r="W22" s="68"/>
      <c r="X22" s="72"/>
      <c r="Y22" s="73"/>
      <c r="Z22" s="65">
        <v>1</v>
      </c>
      <c r="AA22" s="66"/>
      <c r="AB22" s="67">
        <v>1</v>
      </c>
      <c r="AC22" s="68"/>
      <c r="AD22" s="69"/>
      <c r="AE22" s="70"/>
      <c r="AF22" s="67"/>
      <c r="AG22" s="71"/>
      <c r="AH22" s="68"/>
      <c r="AI22" s="72"/>
      <c r="AJ22" s="73"/>
      <c r="AK22" s="65"/>
      <c r="AL22" s="66">
        <v>1</v>
      </c>
      <c r="AM22" s="67"/>
      <c r="AN22" s="68"/>
      <c r="AO22" s="69"/>
      <c r="AP22" s="70"/>
      <c r="AQ22" s="67"/>
      <c r="AR22" s="71"/>
      <c r="AS22" s="68"/>
      <c r="AT22" s="72"/>
      <c r="AU22" s="73"/>
      <c r="AV22" s="65"/>
      <c r="AW22" s="66"/>
      <c r="AX22" s="67">
        <v>1</v>
      </c>
      <c r="AY22" s="68"/>
      <c r="AZ22" s="69"/>
      <c r="BA22" s="70"/>
      <c r="BB22" s="67"/>
      <c r="BC22" s="71"/>
      <c r="BD22" s="68"/>
      <c r="BE22" s="72"/>
      <c r="BF22" s="73"/>
      <c r="BG22" s="65"/>
      <c r="BH22" s="66"/>
      <c r="BI22" s="67">
        <v>1</v>
      </c>
      <c r="BJ22" s="68">
        <v>1</v>
      </c>
      <c r="BK22" s="69"/>
      <c r="BL22" s="70"/>
      <c r="BM22" s="67"/>
      <c r="BN22" s="71"/>
      <c r="BO22" s="68"/>
      <c r="BP22" s="72"/>
      <c r="BQ22" s="73"/>
      <c r="BR22" s="65"/>
      <c r="BS22" s="66"/>
      <c r="BT22" s="67"/>
      <c r="BU22" s="68"/>
      <c r="BV22" s="69"/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>
        <v>1</v>
      </c>
      <c r="E23" s="66">
        <v>1</v>
      </c>
      <c r="F23" s="67"/>
      <c r="G23" s="68"/>
      <c r="H23" s="69"/>
      <c r="I23" s="70"/>
      <c r="J23" s="67"/>
      <c r="K23" s="71"/>
      <c r="L23" s="68"/>
      <c r="M23" s="72"/>
      <c r="N23" s="73"/>
      <c r="O23" s="65"/>
      <c r="P23" s="66">
        <v>1</v>
      </c>
      <c r="Q23" s="67"/>
      <c r="R23" s="68">
        <v>1</v>
      </c>
      <c r="S23" s="69"/>
      <c r="T23" s="70"/>
      <c r="U23" s="67"/>
      <c r="V23" s="71"/>
      <c r="W23" s="68"/>
      <c r="X23" s="72"/>
      <c r="Y23" s="73"/>
      <c r="Z23" s="65">
        <v>1</v>
      </c>
      <c r="AA23" s="66"/>
      <c r="AB23" s="67">
        <v>1</v>
      </c>
      <c r="AC23" s="68"/>
      <c r="AD23" s="69"/>
      <c r="AE23" s="70"/>
      <c r="AF23" s="67"/>
      <c r="AG23" s="71"/>
      <c r="AH23" s="68"/>
      <c r="AI23" s="72"/>
      <c r="AJ23" s="73"/>
      <c r="AK23" s="65">
        <v>1</v>
      </c>
      <c r="AL23" s="66">
        <v>1</v>
      </c>
      <c r="AM23" s="67"/>
      <c r="AN23" s="68"/>
      <c r="AO23" s="69"/>
      <c r="AP23" s="70"/>
      <c r="AQ23" s="67"/>
      <c r="AR23" s="71"/>
      <c r="AS23" s="68"/>
      <c r="AT23" s="72"/>
      <c r="AU23" s="73"/>
      <c r="AV23" s="65">
        <v>1</v>
      </c>
      <c r="AW23" s="66">
        <v>1</v>
      </c>
      <c r="AX23" s="67"/>
      <c r="AY23" s="68"/>
      <c r="AZ23" s="69"/>
      <c r="BA23" s="70"/>
      <c r="BB23" s="67"/>
      <c r="BC23" s="71"/>
      <c r="BD23" s="68"/>
      <c r="BE23" s="72"/>
      <c r="BF23" s="73"/>
      <c r="BG23" s="65">
        <v>1</v>
      </c>
      <c r="BH23" s="66"/>
      <c r="BI23" s="67">
        <v>1</v>
      </c>
      <c r="BJ23" s="68"/>
      <c r="BK23" s="69"/>
      <c r="BL23" s="70"/>
      <c r="BM23" s="67"/>
      <c r="BN23" s="71"/>
      <c r="BO23" s="68"/>
      <c r="BP23" s="72"/>
      <c r="BQ23" s="73"/>
      <c r="BR23" s="65">
        <v>0.5</v>
      </c>
      <c r="BS23" s="66">
        <v>1</v>
      </c>
      <c r="BT23" s="67"/>
      <c r="BU23" s="68"/>
      <c r="BV23" s="69"/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>
        <v>1</v>
      </c>
      <c r="E24" s="66">
        <v>1</v>
      </c>
      <c r="F24" s="67"/>
      <c r="G24" s="68"/>
      <c r="H24" s="69"/>
      <c r="I24" s="70"/>
      <c r="J24" s="67"/>
      <c r="K24" s="71"/>
      <c r="L24" s="68"/>
      <c r="M24" s="72"/>
      <c r="N24" s="73"/>
      <c r="O24" s="65"/>
      <c r="P24" s="66">
        <v>1</v>
      </c>
      <c r="Q24" s="67"/>
      <c r="R24" s="68">
        <v>1</v>
      </c>
      <c r="S24" s="69"/>
      <c r="T24" s="70"/>
      <c r="U24" s="67"/>
      <c r="V24" s="71"/>
      <c r="W24" s="68"/>
      <c r="X24" s="72"/>
      <c r="Y24" s="73"/>
      <c r="Z24" s="65">
        <v>1</v>
      </c>
      <c r="AA24" s="66"/>
      <c r="AB24" s="67">
        <v>1</v>
      </c>
      <c r="AC24" s="68"/>
      <c r="AD24" s="69"/>
      <c r="AE24" s="70"/>
      <c r="AF24" s="67"/>
      <c r="AG24" s="71"/>
      <c r="AH24" s="68"/>
      <c r="AI24" s="72"/>
      <c r="AJ24" s="73"/>
      <c r="AK24" s="65">
        <v>1</v>
      </c>
      <c r="AL24" s="66">
        <v>1</v>
      </c>
      <c r="AM24" s="67"/>
      <c r="AN24" s="68"/>
      <c r="AO24" s="69"/>
      <c r="AP24" s="70"/>
      <c r="AQ24" s="67"/>
      <c r="AR24" s="71"/>
      <c r="AS24" s="68"/>
      <c r="AT24" s="72"/>
      <c r="AU24" s="73"/>
      <c r="AV24" s="65">
        <v>1</v>
      </c>
      <c r="AW24" s="66">
        <v>1</v>
      </c>
      <c r="AX24" s="67"/>
      <c r="AY24" s="68"/>
      <c r="AZ24" s="69"/>
      <c r="BA24" s="70"/>
      <c r="BB24" s="67"/>
      <c r="BC24" s="71"/>
      <c r="BD24" s="68"/>
      <c r="BE24" s="72"/>
      <c r="BF24" s="73"/>
      <c r="BG24" s="65">
        <v>1</v>
      </c>
      <c r="BH24" s="66"/>
      <c r="BI24" s="67">
        <v>1</v>
      </c>
      <c r="BJ24" s="68"/>
      <c r="BK24" s="69"/>
      <c r="BL24" s="70"/>
      <c r="BM24" s="67"/>
      <c r="BN24" s="71"/>
      <c r="BO24" s="68"/>
      <c r="BP24" s="72"/>
      <c r="BQ24" s="73"/>
      <c r="BR24" s="65">
        <v>1</v>
      </c>
      <c r="BS24" s="66">
        <v>1</v>
      </c>
      <c r="BT24" s="67"/>
      <c r="BU24" s="68"/>
      <c r="BV24" s="69"/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>
        <v>1</v>
      </c>
      <c r="E25" s="66">
        <v>1</v>
      </c>
      <c r="F25" s="67"/>
      <c r="G25" s="68"/>
      <c r="H25" s="69"/>
      <c r="I25" s="70"/>
      <c r="J25" s="67"/>
      <c r="K25" s="71"/>
      <c r="L25" s="68"/>
      <c r="M25" s="72"/>
      <c r="N25" s="73"/>
      <c r="O25" s="65"/>
      <c r="P25" s="66">
        <v>1</v>
      </c>
      <c r="Q25" s="67"/>
      <c r="R25" s="68">
        <v>1</v>
      </c>
      <c r="S25" s="69"/>
      <c r="T25" s="70"/>
      <c r="U25" s="67"/>
      <c r="V25" s="71"/>
      <c r="W25" s="68"/>
      <c r="X25" s="72"/>
      <c r="Y25" s="73"/>
      <c r="Z25" s="65">
        <v>1</v>
      </c>
      <c r="AA25" s="66"/>
      <c r="AB25" s="67">
        <v>1</v>
      </c>
      <c r="AC25" s="68"/>
      <c r="AD25" s="69"/>
      <c r="AE25" s="70"/>
      <c r="AF25" s="67"/>
      <c r="AG25" s="71"/>
      <c r="AH25" s="68"/>
      <c r="AI25" s="72"/>
      <c r="AJ25" s="73"/>
      <c r="AK25" s="65">
        <v>1</v>
      </c>
      <c r="AL25" s="66">
        <v>1</v>
      </c>
      <c r="AM25" s="67"/>
      <c r="AN25" s="68"/>
      <c r="AO25" s="69"/>
      <c r="AP25" s="70"/>
      <c r="AQ25" s="67"/>
      <c r="AR25" s="71"/>
      <c r="AS25" s="68"/>
      <c r="AT25" s="72"/>
      <c r="AU25" s="73"/>
      <c r="AV25" s="65">
        <v>1</v>
      </c>
      <c r="AW25" s="66">
        <v>1</v>
      </c>
      <c r="AX25" s="67"/>
      <c r="AY25" s="68"/>
      <c r="AZ25" s="69"/>
      <c r="BA25" s="70"/>
      <c r="BB25" s="67"/>
      <c r="BC25" s="71"/>
      <c r="BD25" s="68"/>
      <c r="BE25" s="72"/>
      <c r="BF25" s="73"/>
      <c r="BG25" s="65">
        <v>1</v>
      </c>
      <c r="BH25" s="66"/>
      <c r="BI25" s="67">
        <v>1</v>
      </c>
      <c r="BJ25" s="68"/>
      <c r="BK25" s="69"/>
      <c r="BL25" s="70"/>
      <c r="BM25" s="67"/>
      <c r="BN25" s="71"/>
      <c r="BO25" s="68"/>
      <c r="BP25" s="72"/>
      <c r="BQ25" s="73"/>
      <c r="BR25" s="65">
        <v>1</v>
      </c>
      <c r="BS25" s="66">
        <v>1</v>
      </c>
      <c r="BT25" s="67"/>
      <c r="BU25" s="68"/>
      <c r="BV25" s="69"/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>
        <v>1</v>
      </c>
      <c r="E26" s="66">
        <v>1</v>
      </c>
      <c r="F26" s="67"/>
      <c r="G26" s="68"/>
      <c r="H26" s="69"/>
      <c r="I26" s="70"/>
      <c r="J26" s="67"/>
      <c r="K26" s="71"/>
      <c r="L26" s="68"/>
      <c r="M26" s="72"/>
      <c r="N26" s="73"/>
      <c r="O26" s="65"/>
      <c r="P26" s="66">
        <v>1</v>
      </c>
      <c r="Q26" s="67"/>
      <c r="R26" s="68">
        <v>1</v>
      </c>
      <c r="S26" s="69"/>
      <c r="T26" s="70"/>
      <c r="U26" s="67"/>
      <c r="V26" s="71"/>
      <c r="W26" s="68"/>
      <c r="X26" s="72"/>
      <c r="Y26" s="73"/>
      <c r="Z26" s="65">
        <v>1</v>
      </c>
      <c r="AA26" s="66"/>
      <c r="AB26" s="67">
        <v>1</v>
      </c>
      <c r="AC26" s="68"/>
      <c r="AD26" s="69"/>
      <c r="AE26" s="70"/>
      <c r="AF26" s="67"/>
      <c r="AG26" s="71"/>
      <c r="AH26" s="68"/>
      <c r="AI26" s="72"/>
      <c r="AJ26" s="73"/>
      <c r="AK26" s="65">
        <v>1</v>
      </c>
      <c r="AL26" s="66">
        <v>1</v>
      </c>
      <c r="AM26" s="67"/>
      <c r="AN26" s="68"/>
      <c r="AO26" s="69"/>
      <c r="AP26" s="70"/>
      <c r="AQ26" s="67"/>
      <c r="AR26" s="71"/>
      <c r="AS26" s="68"/>
      <c r="AT26" s="72"/>
      <c r="AU26" s="73"/>
      <c r="AV26" s="65">
        <v>1</v>
      </c>
      <c r="AW26" s="66">
        <v>1</v>
      </c>
      <c r="AX26" s="67"/>
      <c r="AY26" s="68"/>
      <c r="AZ26" s="69"/>
      <c r="BA26" s="70"/>
      <c r="BB26" s="67"/>
      <c r="BC26" s="71"/>
      <c r="BD26" s="68"/>
      <c r="BE26" s="72"/>
      <c r="BF26" s="73"/>
      <c r="BG26" s="65">
        <v>1</v>
      </c>
      <c r="BH26" s="66"/>
      <c r="BI26" s="67">
        <v>1</v>
      </c>
      <c r="BJ26" s="68"/>
      <c r="BK26" s="69"/>
      <c r="BL26" s="70"/>
      <c r="BM26" s="67"/>
      <c r="BN26" s="71"/>
      <c r="BO26" s="68"/>
      <c r="BP26" s="72"/>
      <c r="BQ26" s="73"/>
      <c r="BR26" s="65">
        <v>1</v>
      </c>
      <c r="BS26" s="66">
        <v>1</v>
      </c>
      <c r="BT26" s="67"/>
      <c r="BU26" s="68"/>
      <c r="BV26" s="69"/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>
        <v>1</v>
      </c>
      <c r="E27" s="66">
        <v>1</v>
      </c>
      <c r="F27" s="67"/>
      <c r="G27" s="68"/>
      <c r="H27" s="69"/>
      <c r="I27" s="70"/>
      <c r="J27" s="67"/>
      <c r="K27" s="71"/>
      <c r="L27" s="68"/>
      <c r="M27" s="72"/>
      <c r="N27" s="73"/>
      <c r="O27" s="65"/>
      <c r="P27" s="66">
        <v>1</v>
      </c>
      <c r="Q27" s="67"/>
      <c r="R27" s="68">
        <v>0.5</v>
      </c>
      <c r="S27" s="69"/>
      <c r="T27" s="70"/>
      <c r="U27" s="67"/>
      <c r="V27" s="71"/>
      <c r="W27" s="68"/>
      <c r="X27" s="72"/>
      <c r="Y27" s="73"/>
      <c r="Z27" s="65">
        <v>1</v>
      </c>
      <c r="AA27" s="66"/>
      <c r="AB27" s="67">
        <v>1</v>
      </c>
      <c r="AC27" s="68"/>
      <c r="AD27" s="69"/>
      <c r="AE27" s="70"/>
      <c r="AF27" s="67"/>
      <c r="AG27" s="71"/>
      <c r="AH27" s="68"/>
      <c r="AI27" s="72"/>
      <c r="AJ27" s="73"/>
      <c r="AK27" s="65">
        <v>1</v>
      </c>
      <c r="AL27" s="66">
        <v>1</v>
      </c>
      <c r="AM27" s="67"/>
      <c r="AN27" s="68"/>
      <c r="AO27" s="69"/>
      <c r="AP27" s="70"/>
      <c r="AQ27" s="67"/>
      <c r="AR27" s="71"/>
      <c r="AS27" s="68"/>
      <c r="AT27" s="72"/>
      <c r="AU27" s="73"/>
      <c r="AV27" s="65">
        <v>1</v>
      </c>
      <c r="AW27" s="66">
        <v>1</v>
      </c>
      <c r="AX27" s="67"/>
      <c r="AY27" s="68"/>
      <c r="AZ27" s="69"/>
      <c r="BA27" s="70"/>
      <c r="BB27" s="67"/>
      <c r="BC27" s="71"/>
      <c r="BD27" s="68"/>
      <c r="BE27" s="72"/>
      <c r="BF27" s="73"/>
      <c r="BG27" s="65">
        <v>1</v>
      </c>
      <c r="BH27" s="66"/>
      <c r="BI27" s="67">
        <v>1</v>
      </c>
      <c r="BJ27" s="68"/>
      <c r="BK27" s="69"/>
      <c r="BL27" s="70"/>
      <c r="BM27" s="67"/>
      <c r="BN27" s="71"/>
      <c r="BO27" s="68"/>
      <c r="BP27" s="72"/>
      <c r="BQ27" s="73"/>
      <c r="BR27" s="65">
        <v>1</v>
      </c>
      <c r="BS27" s="66">
        <v>1</v>
      </c>
      <c r="BT27" s="67"/>
      <c r="BU27" s="68"/>
      <c r="BV27" s="69"/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>
        <v>1</v>
      </c>
      <c r="E28" s="66">
        <v>0.5</v>
      </c>
      <c r="F28" s="67"/>
      <c r="G28" s="68"/>
      <c r="H28" s="69"/>
      <c r="I28" s="70"/>
      <c r="J28" s="67"/>
      <c r="K28" s="71"/>
      <c r="L28" s="68"/>
      <c r="M28" s="72"/>
      <c r="N28" s="73"/>
      <c r="O28" s="65"/>
      <c r="P28" s="66">
        <v>1</v>
      </c>
      <c r="Q28" s="67"/>
      <c r="R28" s="68"/>
      <c r="S28" s="69"/>
      <c r="T28" s="70"/>
      <c r="U28" s="67"/>
      <c r="V28" s="71"/>
      <c r="W28" s="68"/>
      <c r="X28" s="72"/>
      <c r="Y28" s="73"/>
      <c r="Z28" s="65"/>
      <c r="AA28" s="66"/>
      <c r="AB28" s="67">
        <v>1</v>
      </c>
      <c r="AC28" s="68"/>
      <c r="AD28" s="69"/>
      <c r="AE28" s="70"/>
      <c r="AF28" s="67"/>
      <c r="AG28" s="71"/>
      <c r="AH28" s="68"/>
      <c r="AI28" s="72"/>
      <c r="AJ28" s="73"/>
      <c r="AK28" s="65">
        <v>1</v>
      </c>
      <c r="AL28" s="66">
        <v>1</v>
      </c>
      <c r="AM28" s="67"/>
      <c r="AN28" s="68"/>
      <c r="AO28" s="69"/>
      <c r="AP28" s="70"/>
      <c r="AQ28" s="67"/>
      <c r="AR28" s="71"/>
      <c r="AS28" s="68"/>
      <c r="AT28" s="72"/>
      <c r="AU28" s="73"/>
      <c r="AV28" s="65">
        <v>1</v>
      </c>
      <c r="AW28" s="66">
        <v>1</v>
      </c>
      <c r="AX28" s="67"/>
      <c r="AY28" s="68"/>
      <c r="AZ28" s="69"/>
      <c r="BA28" s="70"/>
      <c r="BB28" s="67"/>
      <c r="BC28" s="71"/>
      <c r="BD28" s="68"/>
      <c r="BE28" s="72"/>
      <c r="BF28" s="73"/>
      <c r="BG28" s="65">
        <v>1</v>
      </c>
      <c r="BH28" s="66"/>
      <c r="BI28" s="67">
        <v>1</v>
      </c>
      <c r="BJ28" s="68"/>
      <c r="BK28" s="69"/>
      <c r="BL28" s="70"/>
      <c r="BM28" s="67"/>
      <c r="BN28" s="71"/>
      <c r="BO28" s="68"/>
      <c r="BP28" s="72"/>
      <c r="BQ28" s="73"/>
      <c r="BR28" s="65">
        <v>1</v>
      </c>
      <c r="BS28" s="66">
        <v>1</v>
      </c>
      <c r="BT28" s="67"/>
      <c r="BU28" s="68"/>
      <c r="BV28" s="69"/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02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03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04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05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06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07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08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MILA</v>
      </c>
      <c r="E33" s="31" t="str">
        <f t="shared" si="0"/>
        <v xml:space="preserve">ALESSYA </v>
      </c>
      <c r="F33" s="32" t="str">
        <f t="shared" si="0"/>
        <v>AURORA</v>
      </c>
      <c r="G33" s="33" t="str">
        <f t="shared" si="0"/>
        <v>ALEJANDRO</v>
      </c>
      <c r="H33" s="34">
        <f t="shared" si="0"/>
        <v>0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ref="L33" si="1">+L6</f>
        <v>0</v>
      </c>
      <c r="M33" s="37">
        <f t="shared" si="0"/>
        <v>0</v>
      </c>
      <c r="O33" s="30" t="str">
        <f t="shared" ref="O33:X33" si="2">+O6</f>
        <v>MILA</v>
      </c>
      <c r="P33" s="31" t="str">
        <f t="shared" si="2"/>
        <v xml:space="preserve">ALESSYA </v>
      </c>
      <c r="Q33" s="32" t="str">
        <f t="shared" si="2"/>
        <v>AURORA</v>
      </c>
      <c r="R33" s="33" t="str">
        <f t="shared" si="2"/>
        <v>ALEJANDRO</v>
      </c>
      <c r="S33" s="34">
        <f t="shared" si="2"/>
        <v>0</v>
      </c>
      <c r="T33" s="35">
        <f t="shared" si="2"/>
        <v>0</v>
      </c>
      <c r="U33" s="32">
        <f t="shared" si="2"/>
        <v>0</v>
      </c>
      <c r="V33" s="36">
        <f t="shared" si="2"/>
        <v>0</v>
      </c>
      <c r="W33" s="33">
        <f t="shared" si="2"/>
        <v>0</v>
      </c>
      <c r="X33" s="37">
        <f t="shared" si="2"/>
        <v>0</v>
      </c>
      <c r="Z33" s="30" t="str">
        <f t="shared" ref="Z33:AI33" si="3">+Z6</f>
        <v>MILA</v>
      </c>
      <c r="AA33" s="31" t="str">
        <f t="shared" si="3"/>
        <v xml:space="preserve">ALESSYA </v>
      </c>
      <c r="AB33" s="32" t="str">
        <f t="shared" si="3"/>
        <v>AURORA</v>
      </c>
      <c r="AC33" s="33" t="str">
        <f t="shared" si="3"/>
        <v>ALEJANDRO</v>
      </c>
      <c r="AD33" s="34">
        <f t="shared" si="3"/>
        <v>0</v>
      </c>
      <c r="AE33" s="35">
        <f t="shared" si="3"/>
        <v>0</v>
      </c>
      <c r="AF33" s="32">
        <f t="shared" si="3"/>
        <v>0</v>
      </c>
      <c r="AG33" s="36">
        <f t="shared" si="3"/>
        <v>0</v>
      </c>
      <c r="AH33" s="33">
        <f t="shared" si="3"/>
        <v>0</v>
      </c>
      <c r="AI33" s="37">
        <f t="shared" si="3"/>
        <v>0</v>
      </c>
      <c r="AK33" s="30" t="str">
        <f t="shared" ref="AK33:AT33" si="4">+AK6</f>
        <v>MILA</v>
      </c>
      <c r="AL33" s="31" t="str">
        <f t="shared" si="4"/>
        <v xml:space="preserve">ALESSYA </v>
      </c>
      <c r="AM33" s="32" t="str">
        <f t="shared" si="4"/>
        <v>AURORA</v>
      </c>
      <c r="AN33" s="33" t="str">
        <f t="shared" si="4"/>
        <v>ALEJANDRO</v>
      </c>
      <c r="AO33" s="34">
        <f t="shared" si="4"/>
        <v>0</v>
      </c>
      <c r="AP33" s="35">
        <f t="shared" si="4"/>
        <v>0</v>
      </c>
      <c r="AQ33" s="32">
        <f t="shared" si="4"/>
        <v>0</v>
      </c>
      <c r="AR33" s="36">
        <f t="shared" si="4"/>
        <v>0</v>
      </c>
      <c r="AS33" s="33">
        <f t="shared" si="4"/>
        <v>0</v>
      </c>
      <c r="AT33" s="37">
        <f t="shared" si="4"/>
        <v>0</v>
      </c>
      <c r="AV33" s="30" t="str">
        <f t="shared" ref="AV33:BE33" si="5">+AV6</f>
        <v>MILA</v>
      </c>
      <c r="AW33" s="31" t="str">
        <f t="shared" si="5"/>
        <v xml:space="preserve">ALESSYA </v>
      </c>
      <c r="AX33" s="32" t="str">
        <f t="shared" si="5"/>
        <v>AURORA</v>
      </c>
      <c r="AY33" s="33" t="str">
        <f t="shared" si="5"/>
        <v>ALEJANDRO</v>
      </c>
      <c r="AZ33" s="34">
        <f t="shared" si="5"/>
        <v>0</v>
      </c>
      <c r="BA33" s="35">
        <f t="shared" si="5"/>
        <v>0</v>
      </c>
      <c r="BB33" s="32">
        <f t="shared" si="5"/>
        <v>0</v>
      </c>
      <c r="BC33" s="36">
        <f t="shared" si="5"/>
        <v>0</v>
      </c>
      <c r="BD33" s="33">
        <f t="shared" si="5"/>
        <v>0</v>
      </c>
      <c r="BE33" s="37">
        <f t="shared" si="5"/>
        <v>0</v>
      </c>
      <c r="BG33" s="30" t="str">
        <f t="shared" ref="BG33:BP33" si="6">+BG6</f>
        <v>MILA</v>
      </c>
      <c r="BH33" s="31" t="str">
        <f t="shared" si="6"/>
        <v xml:space="preserve">ALESSYA </v>
      </c>
      <c r="BI33" s="32" t="str">
        <f t="shared" si="6"/>
        <v>AURORA</v>
      </c>
      <c r="BJ33" s="33" t="str">
        <f t="shared" si="6"/>
        <v>ALEJANDRO</v>
      </c>
      <c r="BK33" s="34">
        <f t="shared" si="6"/>
        <v>0</v>
      </c>
      <c r="BL33" s="35">
        <f t="shared" si="6"/>
        <v>0</v>
      </c>
      <c r="BM33" s="32">
        <f t="shared" si="6"/>
        <v>0</v>
      </c>
      <c r="BN33" s="36">
        <f t="shared" si="6"/>
        <v>0</v>
      </c>
      <c r="BO33" s="33">
        <f t="shared" si="6"/>
        <v>0</v>
      </c>
      <c r="BP33" s="37">
        <f t="shared" si="6"/>
        <v>0</v>
      </c>
      <c r="BR33" s="30" t="str">
        <f t="shared" ref="BR33:CA33" si="7">+BR6</f>
        <v>MILA</v>
      </c>
      <c r="BS33" s="31" t="str">
        <f t="shared" si="7"/>
        <v xml:space="preserve">ALESSYA </v>
      </c>
      <c r="BT33" s="32" t="str">
        <f t="shared" si="7"/>
        <v>AURORA</v>
      </c>
      <c r="BU33" s="33" t="str">
        <f t="shared" si="7"/>
        <v>ALEJANDRO</v>
      </c>
      <c r="BV33" s="34">
        <f t="shared" si="7"/>
        <v>0</v>
      </c>
      <c r="BW33" s="35">
        <f t="shared" si="7"/>
        <v>0</v>
      </c>
      <c r="BX33" s="32">
        <f t="shared" si="7"/>
        <v>0</v>
      </c>
      <c r="BY33" s="36">
        <f t="shared" si="7"/>
        <v>0</v>
      </c>
      <c r="BZ33" s="33">
        <f t="shared" si="7"/>
        <v>0</v>
      </c>
      <c r="CA33" s="37">
        <f t="shared" si="7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11</v>
      </c>
      <c r="E34" s="48">
        <f t="shared" ref="E34:M34" si="8">SUM(E7:E30)</f>
        <v>8.5</v>
      </c>
      <c r="F34" s="49">
        <f t="shared" si="8"/>
        <v>0</v>
      </c>
      <c r="G34" s="50">
        <f t="shared" si="8"/>
        <v>0</v>
      </c>
      <c r="H34" s="51">
        <f t="shared" si="8"/>
        <v>0</v>
      </c>
      <c r="I34" s="52">
        <f t="shared" si="8"/>
        <v>0</v>
      </c>
      <c r="J34" s="49">
        <f t="shared" si="8"/>
        <v>0</v>
      </c>
      <c r="K34" s="53">
        <f t="shared" si="8"/>
        <v>0</v>
      </c>
      <c r="L34" s="50">
        <f t="shared" ref="L34" si="9">SUM(L7:L30)</f>
        <v>0</v>
      </c>
      <c r="M34" s="54">
        <f t="shared" si="8"/>
        <v>0</v>
      </c>
      <c r="O34" s="47">
        <f t="shared" ref="O34:X34" si="10">SUM(O7:O30)</f>
        <v>1.5</v>
      </c>
      <c r="P34" s="48">
        <f t="shared" si="10"/>
        <v>9.5</v>
      </c>
      <c r="Q34" s="49">
        <f t="shared" si="10"/>
        <v>0</v>
      </c>
      <c r="R34" s="50">
        <f t="shared" si="10"/>
        <v>9.5</v>
      </c>
      <c r="S34" s="51">
        <f t="shared" si="10"/>
        <v>0</v>
      </c>
      <c r="T34" s="52">
        <f t="shared" si="10"/>
        <v>0</v>
      </c>
      <c r="U34" s="49">
        <f t="shared" si="10"/>
        <v>0</v>
      </c>
      <c r="V34" s="53">
        <f t="shared" si="10"/>
        <v>0</v>
      </c>
      <c r="W34" s="50">
        <f t="shared" si="10"/>
        <v>0</v>
      </c>
      <c r="X34" s="54">
        <f t="shared" si="10"/>
        <v>0</v>
      </c>
      <c r="Z34" s="47">
        <f t="shared" ref="Z34:AI34" si="11">SUM(Z7:Z30)</f>
        <v>11</v>
      </c>
      <c r="AA34" s="48">
        <f t="shared" si="11"/>
        <v>1</v>
      </c>
      <c r="AB34" s="49">
        <f t="shared" si="11"/>
        <v>8</v>
      </c>
      <c r="AC34" s="50">
        <f t="shared" si="11"/>
        <v>0</v>
      </c>
      <c r="AD34" s="51">
        <f t="shared" si="11"/>
        <v>0</v>
      </c>
      <c r="AE34" s="52">
        <f t="shared" si="11"/>
        <v>0</v>
      </c>
      <c r="AF34" s="49">
        <f t="shared" si="11"/>
        <v>0</v>
      </c>
      <c r="AG34" s="53">
        <f t="shared" si="11"/>
        <v>0</v>
      </c>
      <c r="AH34" s="50">
        <f t="shared" si="11"/>
        <v>0</v>
      </c>
      <c r="AI34" s="54">
        <f t="shared" si="11"/>
        <v>0</v>
      </c>
      <c r="AK34" s="47">
        <f t="shared" ref="AK34:AT34" si="12">SUM(AK7:AK30)</f>
        <v>7</v>
      </c>
      <c r="AL34" s="48">
        <f t="shared" si="12"/>
        <v>10</v>
      </c>
      <c r="AM34" s="49">
        <f t="shared" si="12"/>
        <v>0</v>
      </c>
      <c r="AN34" s="50">
        <f t="shared" si="12"/>
        <v>4</v>
      </c>
      <c r="AO34" s="51">
        <f t="shared" si="12"/>
        <v>0</v>
      </c>
      <c r="AP34" s="52">
        <f t="shared" si="12"/>
        <v>0</v>
      </c>
      <c r="AQ34" s="49">
        <f t="shared" si="12"/>
        <v>0</v>
      </c>
      <c r="AR34" s="53">
        <f t="shared" si="12"/>
        <v>0</v>
      </c>
      <c r="AS34" s="50">
        <f t="shared" si="12"/>
        <v>0</v>
      </c>
      <c r="AT34" s="54">
        <f t="shared" si="12"/>
        <v>0</v>
      </c>
      <c r="AV34" s="47">
        <f t="shared" ref="AV34:BE34" si="13">SUM(AV7:AV30)</f>
        <v>6</v>
      </c>
      <c r="AW34" s="48">
        <f t="shared" si="13"/>
        <v>7</v>
      </c>
      <c r="AX34" s="49">
        <f t="shared" si="13"/>
        <v>5</v>
      </c>
      <c r="AY34" s="50">
        <f t="shared" si="13"/>
        <v>5</v>
      </c>
      <c r="AZ34" s="51">
        <f t="shared" si="13"/>
        <v>0</v>
      </c>
      <c r="BA34" s="52">
        <f t="shared" si="13"/>
        <v>0</v>
      </c>
      <c r="BB34" s="49">
        <f t="shared" si="13"/>
        <v>0</v>
      </c>
      <c r="BC34" s="53">
        <f t="shared" si="13"/>
        <v>0</v>
      </c>
      <c r="BD34" s="50">
        <f t="shared" si="13"/>
        <v>0</v>
      </c>
      <c r="BE34" s="54">
        <f t="shared" si="13"/>
        <v>0</v>
      </c>
      <c r="BG34" s="47">
        <f t="shared" ref="BG34:BP34" si="14">SUM(BG7:BG30)</f>
        <v>6</v>
      </c>
      <c r="BH34" s="48">
        <f t="shared" si="14"/>
        <v>5</v>
      </c>
      <c r="BI34" s="49">
        <f t="shared" si="14"/>
        <v>7</v>
      </c>
      <c r="BJ34" s="50">
        <f t="shared" si="14"/>
        <v>5</v>
      </c>
      <c r="BK34" s="51">
        <f t="shared" si="14"/>
        <v>0</v>
      </c>
      <c r="BL34" s="52">
        <f t="shared" si="14"/>
        <v>0</v>
      </c>
      <c r="BM34" s="49">
        <f t="shared" si="14"/>
        <v>0</v>
      </c>
      <c r="BN34" s="53">
        <f t="shared" si="14"/>
        <v>0</v>
      </c>
      <c r="BO34" s="50">
        <f t="shared" si="14"/>
        <v>0</v>
      </c>
      <c r="BP34" s="54">
        <f t="shared" si="14"/>
        <v>0</v>
      </c>
      <c r="BR34" s="47">
        <f t="shared" ref="BR34:CA34" si="15">SUM(BR7:BR30)</f>
        <v>5.5</v>
      </c>
      <c r="BS34" s="48">
        <f t="shared" si="15"/>
        <v>7</v>
      </c>
      <c r="BT34" s="49">
        <f t="shared" si="15"/>
        <v>3.5</v>
      </c>
      <c r="BU34" s="50">
        <f t="shared" si="15"/>
        <v>0</v>
      </c>
      <c r="BV34" s="51">
        <f t="shared" si="15"/>
        <v>0</v>
      </c>
      <c r="BW34" s="52">
        <f t="shared" si="15"/>
        <v>0</v>
      </c>
      <c r="BX34" s="49">
        <f t="shared" si="15"/>
        <v>0</v>
      </c>
      <c r="BY34" s="53">
        <f t="shared" si="15"/>
        <v>0</v>
      </c>
      <c r="BZ34" s="50">
        <f t="shared" si="15"/>
        <v>0</v>
      </c>
      <c r="CA34" s="54">
        <f t="shared" si="15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6">+IF(AND(E14=0.5,E15=0.5),"8:30 AM - 9:30 AM","")</f>
        <v/>
      </c>
      <c r="F35" s="115" t="str">
        <f t="shared" si="16"/>
        <v/>
      </c>
      <c r="G35" s="106" t="str">
        <f t="shared" si="16"/>
        <v/>
      </c>
      <c r="H35" s="116" t="str">
        <f t="shared" si="16"/>
        <v/>
      </c>
      <c r="I35" s="117" t="str">
        <f t="shared" si="16"/>
        <v/>
      </c>
      <c r="J35" s="115" t="str">
        <f t="shared" si="16"/>
        <v/>
      </c>
      <c r="K35" s="118" t="str">
        <f t="shared" si="16"/>
        <v/>
      </c>
      <c r="L35" s="106" t="str">
        <f t="shared" si="16"/>
        <v/>
      </c>
      <c r="M35" s="107" t="str">
        <f t="shared" si="16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17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48</v>
      </c>
      <c r="L39" s="111" t="s">
        <v>5</v>
      </c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18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48</v>
      </c>
      <c r="L40" s="111" t="s">
        <v>6</v>
      </c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19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23.5</v>
      </c>
      <c r="L41" s="100" t="s">
        <v>7</v>
      </c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20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23.5</v>
      </c>
      <c r="L42" s="100" t="s">
        <v>8</v>
      </c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/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0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0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0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K35:K36"/>
    <mergeCell ref="L35:L36"/>
    <mergeCell ref="M35:M36"/>
    <mergeCell ref="F35:F36"/>
    <mergeCell ref="G35:G36"/>
    <mergeCell ref="H35:H36"/>
    <mergeCell ref="I35:I36"/>
    <mergeCell ref="J35:J36"/>
    <mergeCell ref="B39:J39"/>
    <mergeCell ref="L39:N39"/>
    <mergeCell ref="D32:M32"/>
    <mergeCell ref="O32:X32"/>
    <mergeCell ref="Z32:AI32"/>
    <mergeCell ref="Z35:Z36"/>
    <mergeCell ref="AA35:AA36"/>
    <mergeCell ref="AB35:AB36"/>
    <mergeCell ref="AC35:AC36"/>
    <mergeCell ref="AD35:AD36"/>
    <mergeCell ref="AE35:AE36"/>
    <mergeCell ref="AF35:AF36"/>
    <mergeCell ref="AG35:AG36"/>
    <mergeCell ref="D35:D36"/>
    <mergeCell ref="C35:C36"/>
    <mergeCell ref="E35:E36"/>
    <mergeCell ref="L47:N47"/>
    <mergeCell ref="AK32:AT32"/>
    <mergeCell ref="AV32:BE32"/>
    <mergeCell ref="BG32:BP32"/>
    <mergeCell ref="BR32:CA32"/>
    <mergeCell ref="L40:N40"/>
    <mergeCell ref="O35:O36"/>
    <mergeCell ref="P35:P36"/>
    <mergeCell ref="Q35:Q36"/>
    <mergeCell ref="R35:R36"/>
    <mergeCell ref="S35:S36"/>
    <mergeCell ref="T35:T36"/>
    <mergeCell ref="U35:U36"/>
    <mergeCell ref="V35:V36"/>
    <mergeCell ref="W35:W36"/>
    <mergeCell ref="X35:X36"/>
    <mergeCell ref="B41:J41"/>
    <mergeCell ref="B40:J40"/>
    <mergeCell ref="L41:N41"/>
    <mergeCell ref="L42:N42"/>
    <mergeCell ref="B48:J48"/>
    <mergeCell ref="L48:N48"/>
    <mergeCell ref="B42:J42"/>
    <mergeCell ref="L43:N43"/>
    <mergeCell ref="B44:J44"/>
    <mergeCell ref="L44:N44"/>
    <mergeCell ref="B45:J45"/>
    <mergeCell ref="L45:N45"/>
    <mergeCell ref="B43:J43"/>
    <mergeCell ref="B46:J46"/>
    <mergeCell ref="L46:N46"/>
    <mergeCell ref="B47:J47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AR35:AR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BE35:BE36"/>
    <mergeCell ref="BG35:BG36"/>
    <mergeCell ref="BH35:BH36"/>
    <mergeCell ref="BI35:BI36"/>
    <mergeCell ref="BJ35:BJ36"/>
    <mergeCell ref="BK35:BK36"/>
    <mergeCell ref="BL35:BL36"/>
    <mergeCell ref="BM35:BM36"/>
    <mergeCell ref="BN35:BN36"/>
    <mergeCell ref="BO35:BO36"/>
    <mergeCell ref="BP35:BP36"/>
    <mergeCell ref="BR35:BR36"/>
    <mergeCell ref="BS35:BS36"/>
    <mergeCell ref="BT35:BT36"/>
    <mergeCell ref="BZ35:BZ36"/>
    <mergeCell ref="CA35:CA36"/>
    <mergeCell ref="BU35:BU36"/>
    <mergeCell ref="BV35:BV36"/>
    <mergeCell ref="BW35:BW36"/>
    <mergeCell ref="BX35:BX36"/>
    <mergeCell ref="BY35:BY36"/>
  </mergeCells>
  <conditionalFormatting sqref="D7:M14 D29:M30">
    <cfRule type="expression" dxfId="370" priority="38">
      <formula>IF(OR(D7=0,D7=""),TRUE(),FALSE())</formula>
    </cfRule>
  </conditionalFormatting>
  <conditionalFormatting sqref="D15:M28">
    <cfRule type="expression" dxfId="369" priority="37">
      <formula>IF(OR(D15=0,D15=""),TRUE(),FALSE())</formula>
    </cfRule>
  </conditionalFormatting>
  <conditionalFormatting sqref="O7:X14 O29:X30">
    <cfRule type="expression" dxfId="368" priority="12">
      <formula>IF(OR(O7=0,O7=""),TRUE(),FALSE())</formula>
    </cfRule>
  </conditionalFormatting>
  <conditionalFormatting sqref="O15:X28">
    <cfRule type="expression" dxfId="367" priority="11">
      <formula>IF(OR(O15=0,O15=""),TRUE(),FALSE())</formula>
    </cfRule>
  </conditionalFormatting>
  <conditionalFormatting sqref="Z7:AI14 Z29:AI30">
    <cfRule type="expression" dxfId="366" priority="10">
      <formula>IF(OR(Z7=0,Z7=""),TRUE(),FALSE())</formula>
    </cfRule>
  </conditionalFormatting>
  <conditionalFormatting sqref="Z15:AI28">
    <cfRule type="expression" dxfId="365" priority="9">
      <formula>IF(OR(Z15=0,Z15=""),TRUE(),FALSE())</formula>
    </cfRule>
  </conditionalFormatting>
  <conditionalFormatting sqref="AK7:AT14 AK29:AT30">
    <cfRule type="expression" dxfId="364" priority="8">
      <formula>IF(OR(AK7=0,AK7=""),TRUE(),FALSE())</formula>
    </cfRule>
  </conditionalFormatting>
  <conditionalFormatting sqref="AK15:AT28">
    <cfRule type="expression" dxfId="363" priority="7">
      <formula>IF(OR(AK15=0,AK15=""),TRUE(),FALSE())</formula>
    </cfRule>
  </conditionalFormatting>
  <conditionalFormatting sqref="AV7:BE14 AV29:BE30">
    <cfRule type="expression" dxfId="362" priority="6">
      <formula>IF(OR(AV7=0,AV7=""),TRUE(),FALSE())</formula>
    </cfRule>
  </conditionalFormatting>
  <conditionalFormatting sqref="AV15:BE28">
    <cfRule type="expression" dxfId="361" priority="5">
      <formula>IF(OR(AV15=0,AV15=""),TRUE(),FALSE())</formula>
    </cfRule>
  </conditionalFormatting>
  <conditionalFormatting sqref="BG7:BP14 BG29:BP30">
    <cfRule type="expression" dxfId="360" priority="4">
      <formula>IF(OR(BG7=0,BG7=""),TRUE(),FALSE())</formula>
    </cfRule>
  </conditionalFormatting>
  <conditionalFormatting sqref="BG15:BP28">
    <cfRule type="expression" dxfId="359" priority="3">
      <formula>IF(OR(BG15=0,BG15=""),TRUE(),FALSE())</formula>
    </cfRule>
  </conditionalFormatting>
  <conditionalFormatting sqref="BR7:CA14 BR29:CA30">
    <cfRule type="expression" dxfId="358" priority="2">
      <formula>IF(OR(BR7=0,BR7=""),TRUE(),FALSE())</formula>
    </cfRule>
  </conditionalFormatting>
  <conditionalFormatting sqref="BR15:CA28">
    <cfRule type="expression" dxfId="357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BFAFC90B-21C8-44D8-AE56-23F3042131AB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1770-B31B-4728-83FA-DC4C85C232D2}">
  <sheetPr codeName="Hoja2"/>
  <dimension ref="A1:CA48"/>
  <sheetViews>
    <sheetView showGridLines="0" zoomScale="80" zoomScaleNormal="80" workbookViewId="0">
      <pane xSplit="3" ySplit="6" topLeftCell="D14" activePane="bottomRight" state="frozen"/>
      <selection pane="topRight" activeCell="D1" sqref="D1"/>
      <selection pane="bottomLeft" activeCell="A8" sqref="A8"/>
      <selection pane="bottomRight" activeCell="R20" sqref="R20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09 DE MARZO AL 15 DE MARZO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46090</v>
      </c>
      <c r="D5" s="63" t="str">
        <f>CONCATENATE("Lunes ",TEXT(DAY(C5),"00"))</f>
        <v>Lunes 09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10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11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12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13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14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15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13</v>
      </c>
      <c r="E6" s="9" t="s">
        <v>14</v>
      </c>
      <c r="F6" s="10" t="s">
        <v>15</v>
      </c>
      <c r="G6" s="11" t="s">
        <v>16</v>
      </c>
      <c r="H6" s="12"/>
      <c r="I6" s="13"/>
      <c r="J6" s="10"/>
      <c r="K6" s="14"/>
      <c r="L6" s="11"/>
      <c r="M6" s="15"/>
      <c r="O6" s="8" t="str">
        <f>D6</f>
        <v>MILA</v>
      </c>
      <c r="P6" s="9" t="str">
        <f>E6</f>
        <v xml:space="preserve">ALESSYA </v>
      </c>
      <c r="Q6" s="10" t="str">
        <f>F6</f>
        <v>AURORA</v>
      </c>
      <c r="R6" s="11" t="str">
        <f>G6</f>
        <v>ALEJANDRO</v>
      </c>
      <c r="S6" s="12"/>
      <c r="T6" s="13"/>
      <c r="U6" s="10"/>
      <c r="V6" s="14"/>
      <c r="W6" s="11"/>
      <c r="X6" s="15"/>
      <c r="Z6" s="8" t="str">
        <f>O6</f>
        <v>MILA</v>
      </c>
      <c r="AA6" s="9" t="str">
        <f>P6</f>
        <v xml:space="preserve">ALESSYA </v>
      </c>
      <c r="AB6" s="10" t="str">
        <f>Q6</f>
        <v>AURORA</v>
      </c>
      <c r="AC6" s="11" t="str">
        <f>R6</f>
        <v>ALEJANDRO</v>
      </c>
      <c r="AD6" s="12"/>
      <c r="AE6" s="13"/>
      <c r="AF6" s="10"/>
      <c r="AG6" s="14"/>
      <c r="AH6" s="11"/>
      <c r="AI6" s="15"/>
      <c r="AK6" s="8" t="str">
        <f>Z6</f>
        <v>MILA</v>
      </c>
      <c r="AL6" s="9" t="str">
        <f>AA6</f>
        <v xml:space="preserve">ALESSYA </v>
      </c>
      <c r="AM6" s="10" t="str">
        <f>AB6</f>
        <v>AURORA</v>
      </c>
      <c r="AN6" s="11" t="str">
        <f>AC6</f>
        <v>ALEJANDRO</v>
      </c>
      <c r="AO6" s="12"/>
      <c r="AP6" s="13"/>
      <c r="AQ6" s="10"/>
      <c r="AR6" s="14"/>
      <c r="AS6" s="11"/>
      <c r="AT6" s="15"/>
      <c r="AV6" s="8" t="str">
        <f>AK6</f>
        <v>MILA</v>
      </c>
      <c r="AW6" s="9" t="str">
        <f>AL6</f>
        <v xml:space="preserve">ALESSYA </v>
      </c>
      <c r="AX6" s="10" t="str">
        <f>AM6</f>
        <v>AURORA</v>
      </c>
      <c r="AY6" s="11" t="str">
        <f>AN6</f>
        <v>ALEJANDRO</v>
      </c>
      <c r="AZ6" s="12"/>
      <c r="BA6" s="13"/>
      <c r="BB6" s="10"/>
      <c r="BC6" s="14"/>
      <c r="BD6" s="11"/>
      <c r="BE6" s="15"/>
      <c r="BG6" s="8" t="str">
        <f>AV6</f>
        <v>MILA</v>
      </c>
      <c r="BH6" s="9" t="str">
        <f>AW6</f>
        <v xml:space="preserve">ALESSYA </v>
      </c>
      <c r="BI6" s="10" t="str">
        <f>AB6</f>
        <v>AURORA</v>
      </c>
      <c r="BJ6" s="11" t="str">
        <f>AC6</f>
        <v>ALEJANDRO</v>
      </c>
      <c r="BK6" s="12"/>
      <c r="BL6" s="13"/>
      <c r="BM6" s="10"/>
      <c r="BN6" s="14"/>
      <c r="BO6" s="11"/>
      <c r="BP6" s="15"/>
      <c r="BR6" s="8" t="str">
        <f>AV6</f>
        <v>MILA</v>
      </c>
      <c r="BS6" s="9" t="str">
        <f>BH6</f>
        <v xml:space="preserve">ALESSYA </v>
      </c>
      <c r="BT6" s="10" t="str">
        <f>AX6</f>
        <v>AURORA</v>
      </c>
      <c r="BU6" s="11" t="str">
        <f>BJ6</f>
        <v>ALEJANDRO</v>
      </c>
      <c r="BV6" s="12"/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/>
      <c r="BB14" s="18"/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/>
      <c r="H15" s="69"/>
      <c r="I15" s="70"/>
      <c r="J15" s="67"/>
      <c r="K15" s="71"/>
      <c r="L15" s="68"/>
      <c r="M15" s="72"/>
      <c r="N15" s="73"/>
      <c r="O15" s="65"/>
      <c r="P15" s="66"/>
      <c r="Q15" s="67"/>
      <c r="R15" s="68"/>
      <c r="S15" s="69"/>
      <c r="T15" s="70"/>
      <c r="U15" s="67"/>
      <c r="V15" s="71"/>
      <c r="W15" s="68"/>
      <c r="X15" s="72"/>
      <c r="Y15" s="73"/>
      <c r="Z15" s="65"/>
      <c r="AA15" s="66"/>
      <c r="AB15" s="67"/>
      <c r="AC15" s="68"/>
      <c r="AD15" s="69"/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/>
      <c r="BI15" s="67"/>
      <c r="BJ15" s="68"/>
      <c r="BK15" s="69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/>
      <c r="F16" s="67"/>
      <c r="G16" s="68"/>
      <c r="H16" s="69"/>
      <c r="I16" s="70"/>
      <c r="J16" s="67"/>
      <c r="K16" s="71"/>
      <c r="L16" s="68"/>
      <c r="M16" s="72"/>
      <c r="N16" s="73"/>
      <c r="O16" s="65"/>
      <c r="P16" s="66"/>
      <c r="Q16" s="67"/>
      <c r="R16" s="68"/>
      <c r="S16" s="69"/>
      <c r="T16" s="70"/>
      <c r="U16" s="67"/>
      <c r="V16" s="71"/>
      <c r="W16" s="68"/>
      <c r="X16" s="72"/>
      <c r="Y16" s="73"/>
      <c r="Z16" s="65"/>
      <c r="AA16" s="66"/>
      <c r="AB16" s="67"/>
      <c r="AC16" s="68"/>
      <c r="AD16" s="69"/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6"/>
      <c r="BI16" s="67"/>
      <c r="BJ16" s="68"/>
      <c r="BK16" s="69"/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>
        <v>1</v>
      </c>
      <c r="E17" s="66">
        <v>1</v>
      </c>
      <c r="F17" s="67"/>
      <c r="G17" s="68"/>
      <c r="H17" s="69"/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/>
      <c r="S17" s="69"/>
      <c r="T17" s="70"/>
      <c r="U17" s="67"/>
      <c r="V17" s="71"/>
      <c r="W17" s="68"/>
      <c r="X17" s="72"/>
      <c r="Y17" s="73"/>
      <c r="Z17" s="65">
        <v>1</v>
      </c>
      <c r="AA17" s="66"/>
      <c r="AB17" s="67"/>
      <c r="AC17" s="68"/>
      <c r="AD17" s="69"/>
      <c r="AE17" s="70"/>
      <c r="AF17" s="67"/>
      <c r="AG17" s="71"/>
      <c r="AH17" s="68"/>
      <c r="AI17" s="72"/>
      <c r="AJ17" s="73"/>
      <c r="AK17" s="65"/>
      <c r="AL17" s="66">
        <v>1</v>
      </c>
      <c r="AM17" s="67"/>
      <c r="AN17" s="68"/>
      <c r="AO17" s="69"/>
      <c r="AP17" s="70"/>
      <c r="AQ17" s="67"/>
      <c r="AR17" s="71"/>
      <c r="AS17" s="68"/>
      <c r="AT17" s="72"/>
      <c r="AU17" s="73"/>
      <c r="AV17" s="65">
        <v>1</v>
      </c>
      <c r="AW17" s="66">
        <v>1</v>
      </c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>
        <v>1</v>
      </c>
      <c r="BI17" s="67">
        <v>1</v>
      </c>
      <c r="BJ17" s="68"/>
      <c r="BK17" s="69"/>
      <c r="BL17" s="70"/>
      <c r="BM17" s="67"/>
      <c r="BN17" s="71"/>
      <c r="BO17" s="68"/>
      <c r="BP17" s="72"/>
      <c r="BQ17" s="73"/>
      <c r="BR17" s="65"/>
      <c r="BS17" s="66">
        <v>1</v>
      </c>
      <c r="BT17" s="67"/>
      <c r="BU17" s="68">
        <v>1</v>
      </c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>
        <v>1</v>
      </c>
      <c r="E18" s="66">
        <v>1</v>
      </c>
      <c r="F18" s="67"/>
      <c r="G18" s="68"/>
      <c r="H18" s="69"/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/>
      <c r="S18" s="69"/>
      <c r="T18" s="70"/>
      <c r="U18" s="67"/>
      <c r="V18" s="71"/>
      <c r="W18" s="68"/>
      <c r="X18" s="72"/>
      <c r="Y18" s="73"/>
      <c r="Z18" s="65">
        <v>1</v>
      </c>
      <c r="AA18" s="66"/>
      <c r="AB18" s="67"/>
      <c r="AC18" s="68"/>
      <c r="AD18" s="69"/>
      <c r="AE18" s="70"/>
      <c r="AF18" s="67"/>
      <c r="AG18" s="71"/>
      <c r="AH18" s="68"/>
      <c r="AI18" s="72"/>
      <c r="AJ18" s="73"/>
      <c r="AK18" s="65"/>
      <c r="AL18" s="66">
        <v>1</v>
      </c>
      <c r="AM18" s="67"/>
      <c r="AN18" s="68">
        <v>1</v>
      </c>
      <c r="AO18" s="69"/>
      <c r="AP18" s="70"/>
      <c r="AQ18" s="67"/>
      <c r="AR18" s="71"/>
      <c r="AS18" s="68"/>
      <c r="AT18" s="72"/>
      <c r="AU18" s="73"/>
      <c r="AV18" s="65">
        <v>1</v>
      </c>
      <c r="AW18" s="66">
        <v>1</v>
      </c>
      <c r="AX18" s="67"/>
      <c r="AY18" s="68"/>
      <c r="AZ18" s="69"/>
      <c r="BA18" s="70"/>
      <c r="BB18" s="67"/>
      <c r="BC18" s="71"/>
      <c r="BD18" s="68"/>
      <c r="BE18" s="72"/>
      <c r="BF18" s="73"/>
      <c r="BG18" s="65"/>
      <c r="BH18" s="66">
        <v>1</v>
      </c>
      <c r="BI18" s="67">
        <v>1</v>
      </c>
      <c r="BJ18" s="68"/>
      <c r="BK18" s="69"/>
      <c r="BL18" s="70"/>
      <c r="BM18" s="67"/>
      <c r="BN18" s="71"/>
      <c r="BO18" s="68"/>
      <c r="BP18" s="72"/>
      <c r="BQ18" s="73"/>
      <c r="BR18" s="65"/>
      <c r="BS18" s="66">
        <v>1</v>
      </c>
      <c r="BT18" s="67"/>
      <c r="BU18" s="68">
        <v>1</v>
      </c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>
        <v>1</v>
      </c>
      <c r="E19" s="66">
        <v>1</v>
      </c>
      <c r="F19" s="67"/>
      <c r="G19" s="68"/>
      <c r="H19" s="69"/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/>
      <c r="S19" s="69"/>
      <c r="T19" s="70"/>
      <c r="U19" s="67"/>
      <c r="V19" s="71"/>
      <c r="W19" s="68"/>
      <c r="X19" s="72"/>
      <c r="Y19" s="73"/>
      <c r="Z19" s="65">
        <v>1</v>
      </c>
      <c r="AA19" s="66"/>
      <c r="AB19" s="67"/>
      <c r="AC19" s="68"/>
      <c r="AD19" s="69"/>
      <c r="AE19" s="70"/>
      <c r="AF19" s="67"/>
      <c r="AG19" s="71"/>
      <c r="AH19" s="68"/>
      <c r="AI19" s="72"/>
      <c r="AJ19" s="73"/>
      <c r="AK19" s="65"/>
      <c r="AL19" s="66">
        <v>1</v>
      </c>
      <c r="AM19" s="67"/>
      <c r="AN19" s="68">
        <v>1</v>
      </c>
      <c r="AO19" s="69"/>
      <c r="AP19" s="70"/>
      <c r="AQ19" s="67"/>
      <c r="AR19" s="71"/>
      <c r="AS19" s="68"/>
      <c r="AT19" s="72"/>
      <c r="AU19" s="73"/>
      <c r="AV19" s="65">
        <v>1</v>
      </c>
      <c r="AW19" s="66">
        <v>1</v>
      </c>
      <c r="AX19" s="67"/>
      <c r="AY19" s="68"/>
      <c r="AZ19" s="69"/>
      <c r="BA19" s="70"/>
      <c r="BB19" s="67"/>
      <c r="BC19" s="71"/>
      <c r="BD19" s="68"/>
      <c r="BE19" s="72"/>
      <c r="BF19" s="73"/>
      <c r="BG19" s="65"/>
      <c r="BH19" s="66">
        <v>1</v>
      </c>
      <c r="BI19" s="67">
        <v>1</v>
      </c>
      <c r="BJ19" s="68"/>
      <c r="BK19" s="69"/>
      <c r="BL19" s="70"/>
      <c r="BM19" s="67"/>
      <c r="BN19" s="71"/>
      <c r="BO19" s="68"/>
      <c r="BP19" s="72"/>
      <c r="BQ19" s="73"/>
      <c r="BR19" s="65"/>
      <c r="BS19" s="66">
        <v>1</v>
      </c>
      <c r="BT19" s="67"/>
      <c r="BU19" s="68">
        <v>1</v>
      </c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>
        <v>1</v>
      </c>
      <c r="F20" s="67"/>
      <c r="G20" s="68"/>
      <c r="H20" s="69"/>
      <c r="I20" s="70"/>
      <c r="J20" s="67"/>
      <c r="K20" s="71"/>
      <c r="L20" s="68"/>
      <c r="M20" s="72"/>
      <c r="N20" s="74"/>
      <c r="O20" s="65"/>
      <c r="P20" s="66"/>
      <c r="Q20" s="67"/>
      <c r="R20" s="68">
        <v>1</v>
      </c>
      <c r="S20" s="69"/>
      <c r="T20" s="70"/>
      <c r="U20" s="67"/>
      <c r="V20" s="71"/>
      <c r="W20" s="68"/>
      <c r="X20" s="72"/>
      <c r="Y20" s="74"/>
      <c r="Z20" s="65"/>
      <c r="AA20" s="66"/>
      <c r="AB20" s="67">
        <v>1</v>
      </c>
      <c r="AC20" s="68"/>
      <c r="AD20" s="69"/>
      <c r="AE20" s="70"/>
      <c r="AF20" s="67"/>
      <c r="AG20" s="71"/>
      <c r="AH20" s="68"/>
      <c r="AI20" s="72"/>
      <c r="AJ20" s="74"/>
      <c r="AK20" s="65">
        <v>1</v>
      </c>
      <c r="AL20" s="66">
        <v>1</v>
      </c>
      <c r="AM20" s="67"/>
      <c r="AN20" s="68"/>
      <c r="AO20" s="69"/>
      <c r="AP20" s="70"/>
      <c r="AQ20" s="67"/>
      <c r="AR20" s="71"/>
      <c r="AS20" s="68"/>
      <c r="AT20" s="72"/>
      <c r="AU20" s="74"/>
      <c r="AV20" s="65"/>
      <c r="AW20" s="66">
        <v>1</v>
      </c>
      <c r="AX20" s="67"/>
      <c r="AY20" s="68"/>
      <c r="AZ20" s="69"/>
      <c r="BA20" s="70"/>
      <c r="BB20" s="67"/>
      <c r="BC20" s="71"/>
      <c r="BD20" s="68"/>
      <c r="BE20" s="72"/>
      <c r="BF20" s="74"/>
      <c r="BG20" s="65"/>
      <c r="BH20" s="66">
        <v>1</v>
      </c>
      <c r="BI20" s="67"/>
      <c r="BJ20" s="68"/>
      <c r="BK20" s="69"/>
      <c r="BL20" s="70"/>
      <c r="BM20" s="67"/>
      <c r="BN20" s="71"/>
      <c r="BO20" s="68"/>
      <c r="BP20" s="72"/>
      <c r="BQ20" s="74"/>
      <c r="BR20" s="65"/>
      <c r="BS20" s="66"/>
      <c r="BT20" s="67"/>
      <c r="BU20" s="68">
        <v>1</v>
      </c>
      <c r="BV20" s="69"/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>
        <v>1</v>
      </c>
      <c r="E21" s="66"/>
      <c r="F21" s="67"/>
      <c r="G21" s="68"/>
      <c r="H21" s="69"/>
      <c r="I21" s="70"/>
      <c r="J21" s="67"/>
      <c r="K21" s="71"/>
      <c r="L21" s="68"/>
      <c r="M21" s="72"/>
      <c r="N21" s="73"/>
      <c r="O21" s="65"/>
      <c r="P21" s="66">
        <v>1</v>
      </c>
      <c r="Q21" s="67"/>
      <c r="R21" s="68"/>
      <c r="S21" s="69"/>
      <c r="T21" s="70"/>
      <c r="U21" s="67"/>
      <c r="V21" s="71"/>
      <c r="W21" s="68"/>
      <c r="X21" s="72"/>
      <c r="Y21" s="73"/>
      <c r="Z21" s="65">
        <v>1</v>
      </c>
      <c r="AA21" s="66"/>
      <c r="AB21" s="67"/>
      <c r="AC21" s="68"/>
      <c r="AD21" s="69"/>
      <c r="AE21" s="70"/>
      <c r="AF21" s="67"/>
      <c r="AG21" s="71"/>
      <c r="AH21" s="68"/>
      <c r="AI21" s="72"/>
      <c r="AJ21" s="73"/>
      <c r="AK21" s="65"/>
      <c r="AL21" s="66"/>
      <c r="AM21" s="67"/>
      <c r="AN21" s="68">
        <v>1</v>
      </c>
      <c r="AO21" s="69"/>
      <c r="AP21" s="70"/>
      <c r="AQ21" s="67"/>
      <c r="AR21" s="71"/>
      <c r="AS21" s="68"/>
      <c r="AT21" s="72"/>
      <c r="AU21" s="73"/>
      <c r="AV21" s="65">
        <v>1</v>
      </c>
      <c r="AW21" s="66"/>
      <c r="AX21" s="67"/>
      <c r="AY21" s="68"/>
      <c r="AZ21" s="69"/>
      <c r="BA21" s="70"/>
      <c r="BB21" s="67"/>
      <c r="BC21" s="71"/>
      <c r="BD21" s="68"/>
      <c r="BE21" s="72"/>
      <c r="BF21" s="73"/>
      <c r="BG21" s="65"/>
      <c r="BH21" s="66"/>
      <c r="BI21" s="67">
        <v>1</v>
      </c>
      <c r="BJ21" s="68"/>
      <c r="BK21" s="69"/>
      <c r="BL21" s="70"/>
      <c r="BM21" s="67"/>
      <c r="BN21" s="71"/>
      <c r="BO21" s="68"/>
      <c r="BP21" s="72"/>
      <c r="BQ21" s="73"/>
      <c r="BR21" s="65"/>
      <c r="BS21" s="66">
        <v>1</v>
      </c>
      <c r="BT21" s="67"/>
      <c r="BU21" s="68"/>
      <c r="BV21" s="69"/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>
        <v>1</v>
      </c>
      <c r="E22" s="66"/>
      <c r="F22" s="67">
        <v>1</v>
      </c>
      <c r="G22" s="68"/>
      <c r="H22" s="69"/>
      <c r="I22" s="70"/>
      <c r="J22" s="67"/>
      <c r="K22" s="71"/>
      <c r="L22" s="68"/>
      <c r="M22" s="72"/>
      <c r="N22" s="73"/>
      <c r="O22" s="65"/>
      <c r="P22" s="66">
        <v>1</v>
      </c>
      <c r="Q22" s="67"/>
      <c r="R22" s="68">
        <v>1</v>
      </c>
      <c r="S22" s="69"/>
      <c r="T22" s="70"/>
      <c r="U22" s="67"/>
      <c r="V22" s="71"/>
      <c r="W22" s="68"/>
      <c r="X22" s="72"/>
      <c r="Y22" s="73"/>
      <c r="Z22" s="65">
        <v>1</v>
      </c>
      <c r="AA22" s="66"/>
      <c r="AB22" s="67">
        <v>1</v>
      </c>
      <c r="AC22" s="68"/>
      <c r="AD22" s="69"/>
      <c r="AE22" s="70"/>
      <c r="AF22" s="67"/>
      <c r="AG22" s="71"/>
      <c r="AH22" s="68"/>
      <c r="AI22" s="72"/>
      <c r="AJ22" s="73"/>
      <c r="AK22" s="65">
        <v>1</v>
      </c>
      <c r="AL22" s="66"/>
      <c r="AM22" s="67"/>
      <c r="AN22" s="68">
        <v>1</v>
      </c>
      <c r="AO22" s="69"/>
      <c r="AP22" s="70"/>
      <c r="AQ22" s="67"/>
      <c r="AR22" s="71"/>
      <c r="AS22" s="68"/>
      <c r="AT22" s="72"/>
      <c r="AU22" s="73"/>
      <c r="AV22" s="65">
        <v>1</v>
      </c>
      <c r="AW22" s="66"/>
      <c r="AX22" s="67"/>
      <c r="AY22" s="68"/>
      <c r="AZ22" s="69"/>
      <c r="BA22" s="70"/>
      <c r="BB22" s="67"/>
      <c r="BC22" s="71"/>
      <c r="BD22" s="68"/>
      <c r="BE22" s="72"/>
      <c r="BF22" s="73"/>
      <c r="BG22" s="65"/>
      <c r="BH22" s="66">
        <v>1</v>
      </c>
      <c r="BI22" s="67"/>
      <c r="BJ22" s="68"/>
      <c r="BK22" s="69"/>
      <c r="BL22" s="70"/>
      <c r="BM22" s="67"/>
      <c r="BN22" s="71"/>
      <c r="BO22" s="68"/>
      <c r="BP22" s="72"/>
      <c r="BQ22" s="73"/>
      <c r="BR22" s="65"/>
      <c r="BS22" s="66">
        <v>1</v>
      </c>
      <c r="BT22" s="67"/>
      <c r="BU22" s="68"/>
      <c r="BV22" s="69"/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>
        <v>1</v>
      </c>
      <c r="E23" s="66"/>
      <c r="F23" s="67">
        <v>1</v>
      </c>
      <c r="G23" s="68"/>
      <c r="H23" s="69"/>
      <c r="I23" s="70"/>
      <c r="J23" s="67"/>
      <c r="K23" s="71"/>
      <c r="L23" s="68"/>
      <c r="M23" s="72"/>
      <c r="N23" s="73"/>
      <c r="O23" s="65"/>
      <c r="P23" s="66">
        <v>1</v>
      </c>
      <c r="Q23" s="67"/>
      <c r="R23" s="68">
        <v>1</v>
      </c>
      <c r="S23" s="69"/>
      <c r="T23" s="70"/>
      <c r="U23" s="67"/>
      <c r="V23" s="71"/>
      <c r="W23" s="68"/>
      <c r="X23" s="72"/>
      <c r="Y23" s="73"/>
      <c r="Z23" s="65">
        <v>1</v>
      </c>
      <c r="AA23" s="66"/>
      <c r="AB23" s="67">
        <v>1</v>
      </c>
      <c r="AC23" s="68"/>
      <c r="AD23" s="69"/>
      <c r="AE23" s="70"/>
      <c r="AF23" s="67"/>
      <c r="AG23" s="71"/>
      <c r="AH23" s="68"/>
      <c r="AI23" s="72"/>
      <c r="AJ23" s="73"/>
      <c r="AK23" s="65">
        <v>1</v>
      </c>
      <c r="AL23" s="66"/>
      <c r="AM23" s="67"/>
      <c r="AN23" s="68">
        <v>1</v>
      </c>
      <c r="AO23" s="69"/>
      <c r="AP23" s="70"/>
      <c r="AQ23" s="67"/>
      <c r="AR23" s="71"/>
      <c r="AS23" s="68"/>
      <c r="AT23" s="72"/>
      <c r="AU23" s="73"/>
      <c r="AV23" s="65">
        <v>1</v>
      </c>
      <c r="AW23" s="66"/>
      <c r="AX23" s="67"/>
      <c r="AY23" s="68">
        <v>1</v>
      </c>
      <c r="AZ23" s="69"/>
      <c r="BA23" s="70"/>
      <c r="BB23" s="67"/>
      <c r="BC23" s="71"/>
      <c r="BD23" s="68"/>
      <c r="BE23" s="72"/>
      <c r="BF23" s="73"/>
      <c r="BG23" s="65">
        <v>1</v>
      </c>
      <c r="BH23" s="66">
        <v>1</v>
      </c>
      <c r="BI23" s="67"/>
      <c r="BJ23" s="68"/>
      <c r="BK23" s="69"/>
      <c r="BL23" s="70"/>
      <c r="BM23" s="67"/>
      <c r="BN23" s="71"/>
      <c r="BO23" s="68"/>
      <c r="BP23" s="72"/>
      <c r="BQ23" s="73"/>
      <c r="BR23" s="65">
        <v>1</v>
      </c>
      <c r="BS23" s="66">
        <v>1</v>
      </c>
      <c r="BT23" s="67"/>
      <c r="BU23" s="68"/>
      <c r="BV23" s="69"/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>
        <v>1</v>
      </c>
      <c r="E24" s="66"/>
      <c r="F24" s="67">
        <v>1</v>
      </c>
      <c r="G24" s="68"/>
      <c r="H24" s="69"/>
      <c r="I24" s="70"/>
      <c r="J24" s="67"/>
      <c r="K24" s="71"/>
      <c r="L24" s="68"/>
      <c r="M24" s="72"/>
      <c r="N24" s="73"/>
      <c r="O24" s="65"/>
      <c r="P24" s="66"/>
      <c r="Q24" s="67">
        <v>1</v>
      </c>
      <c r="R24" s="68">
        <v>1</v>
      </c>
      <c r="S24" s="69"/>
      <c r="T24" s="70"/>
      <c r="U24" s="67"/>
      <c r="V24" s="71"/>
      <c r="W24" s="68"/>
      <c r="X24" s="72"/>
      <c r="Y24" s="73"/>
      <c r="Z24" s="65">
        <v>1</v>
      </c>
      <c r="AA24" s="66"/>
      <c r="AB24" s="67">
        <v>1</v>
      </c>
      <c r="AC24" s="68"/>
      <c r="AD24" s="69"/>
      <c r="AE24" s="70"/>
      <c r="AF24" s="67"/>
      <c r="AG24" s="71"/>
      <c r="AH24" s="68"/>
      <c r="AI24" s="72"/>
      <c r="AJ24" s="73"/>
      <c r="AK24" s="65">
        <v>1</v>
      </c>
      <c r="AL24" s="66"/>
      <c r="AM24" s="67"/>
      <c r="AN24" s="68">
        <v>0.5</v>
      </c>
      <c r="AO24" s="69"/>
      <c r="AP24" s="70"/>
      <c r="AQ24" s="67"/>
      <c r="AR24" s="71"/>
      <c r="AS24" s="68"/>
      <c r="AT24" s="72"/>
      <c r="AU24" s="73"/>
      <c r="AV24" s="65">
        <v>1</v>
      </c>
      <c r="AW24" s="66"/>
      <c r="AX24" s="67"/>
      <c r="AY24" s="68">
        <v>1</v>
      </c>
      <c r="AZ24" s="69"/>
      <c r="BA24" s="70"/>
      <c r="BB24" s="67"/>
      <c r="BC24" s="71"/>
      <c r="BD24" s="68"/>
      <c r="BE24" s="72"/>
      <c r="BF24" s="73"/>
      <c r="BG24" s="65">
        <v>1</v>
      </c>
      <c r="BH24" s="66">
        <v>1</v>
      </c>
      <c r="BI24" s="67"/>
      <c r="BJ24" s="68"/>
      <c r="BK24" s="69"/>
      <c r="BL24" s="70"/>
      <c r="BM24" s="67"/>
      <c r="BN24" s="71"/>
      <c r="BO24" s="68"/>
      <c r="BP24" s="72"/>
      <c r="BQ24" s="73"/>
      <c r="BR24" s="65">
        <v>1</v>
      </c>
      <c r="BS24" s="66">
        <v>1</v>
      </c>
      <c r="BT24" s="67"/>
      <c r="BU24" s="68"/>
      <c r="BV24" s="69"/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>
        <v>1</v>
      </c>
      <c r="E25" s="66"/>
      <c r="F25" s="67">
        <v>1</v>
      </c>
      <c r="G25" s="68"/>
      <c r="H25" s="69"/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>
        <v>1</v>
      </c>
      <c r="S25" s="69"/>
      <c r="T25" s="70"/>
      <c r="U25" s="67"/>
      <c r="V25" s="71"/>
      <c r="W25" s="68"/>
      <c r="X25" s="72"/>
      <c r="Y25" s="73"/>
      <c r="Z25" s="65">
        <v>1</v>
      </c>
      <c r="AA25" s="66"/>
      <c r="AB25" s="67">
        <v>1</v>
      </c>
      <c r="AC25" s="68"/>
      <c r="AD25" s="69"/>
      <c r="AE25" s="70"/>
      <c r="AF25" s="67"/>
      <c r="AG25" s="71"/>
      <c r="AH25" s="68"/>
      <c r="AI25" s="72"/>
      <c r="AJ25" s="73"/>
      <c r="AK25" s="65">
        <v>1</v>
      </c>
      <c r="AL25" s="66">
        <v>1</v>
      </c>
      <c r="AM25" s="67"/>
      <c r="AN25" s="68"/>
      <c r="AO25" s="69"/>
      <c r="AP25" s="70"/>
      <c r="AQ25" s="67"/>
      <c r="AR25" s="71"/>
      <c r="AS25" s="68"/>
      <c r="AT25" s="72"/>
      <c r="AU25" s="73"/>
      <c r="AV25" s="65"/>
      <c r="AW25" s="66">
        <v>1</v>
      </c>
      <c r="AX25" s="67"/>
      <c r="AY25" s="68">
        <v>1</v>
      </c>
      <c r="AZ25" s="69"/>
      <c r="BA25" s="70"/>
      <c r="BB25" s="67"/>
      <c r="BC25" s="71"/>
      <c r="BD25" s="68"/>
      <c r="BE25" s="72"/>
      <c r="BF25" s="73"/>
      <c r="BG25" s="65">
        <v>1</v>
      </c>
      <c r="BH25" s="66">
        <v>1</v>
      </c>
      <c r="BI25" s="67"/>
      <c r="BJ25" s="68"/>
      <c r="BK25" s="69"/>
      <c r="BL25" s="70"/>
      <c r="BM25" s="67"/>
      <c r="BN25" s="71"/>
      <c r="BO25" s="68"/>
      <c r="BP25" s="72"/>
      <c r="BQ25" s="73"/>
      <c r="BR25" s="65">
        <v>1</v>
      </c>
      <c r="BS25" s="66">
        <v>1</v>
      </c>
      <c r="BT25" s="67"/>
      <c r="BU25" s="68"/>
      <c r="BV25" s="69"/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>
        <v>1</v>
      </c>
      <c r="E26" s="66"/>
      <c r="F26" s="67">
        <v>1</v>
      </c>
      <c r="G26" s="68"/>
      <c r="H26" s="69"/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>
        <v>1</v>
      </c>
      <c r="S26" s="69"/>
      <c r="T26" s="70"/>
      <c r="U26" s="67"/>
      <c r="V26" s="71"/>
      <c r="W26" s="68"/>
      <c r="X26" s="72"/>
      <c r="Y26" s="73"/>
      <c r="Z26" s="65">
        <v>1</v>
      </c>
      <c r="AA26" s="66"/>
      <c r="AB26" s="67">
        <v>1</v>
      </c>
      <c r="AC26" s="68"/>
      <c r="AD26" s="69"/>
      <c r="AE26" s="70"/>
      <c r="AF26" s="67"/>
      <c r="AG26" s="71"/>
      <c r="AH26" s="68"/>
      <c r="AI26" s="72"/>
      <c r="AJ26" s="73"/>
      <c r="AK26" s="65">
        <v>1</v>
      </c>
      <c r="AL26" s="66">
        <v>1</v>
      </c>
      <c r="AM26" s="67"/>
      <c r="AN26" s="68"/>
      <c r="AO26" s="69"/>
      <c r="AP26" s="70"/>
      <c r="AQ26" s="67"/>
      <c r="AR26" s="71"/>
      <c r="AS26" s="68"/>
      <c r="AT26" s="72"/>
      <c r="AU26" s="73"/>
      <c r="AV26" s="65"/>
      <c r="AW26" s="66">
        <v>1</v>
      </c>
      <c r="AX26" s="67"/>
      <c r="AY26" s="68">
        <v>1</v>
      </c>
      <c r="AZ26" s="69"/>
      <c r="BA26" s="70"/>
      <c r="BB26" s="67"/>
      <c r="BC26" s="71"/>
      <c r="BD26" s="68"/>
      <c r="BE26" s="72"/>
      <c r="BF26" s="73"/>
      <c r="BG26" s="65">
        <v>1</v>
      </c>
      <c r="BH26" s="66">
        <v>1</v>
      </c>
      <c r="BI26" s="67"/>
      <c r="BJ26" s="68"/>
      <c r="BK26" s="69"/>
      <c r="BL26" s="70"/>
      <c r="BM26" s="67"/>
      <c r="BN26" s="71"/>
      <c r="BO26" s="68"/>
      <c r="BP26" s="72"/>
      <c r="BQ26" s="73"/>
      <c r="BR26" s="65">
        <v>1</v>
      </c>
      <c r="BS26" s="66">
        <v>1</v>
      </c>
      <c r="BT26" s="67"/>
      <c r="BU26" s="68"/>
      <c r="BV26" s="69"/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>
        <v>1</v>
      </c>
      <c r="E27" s="66"/>
      <c r="F27" s="67">
        <v>1</v>
      </c>
      <c r="G27" s="68"/>
      <c r="H27" s="69"/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>
        <v>1</v>
      </c>
      <c r="S27" s="69"/>
      <c r="T27" s="70"/>
      <c r="U27" s="67"/>
      <c r="V27" s="71"/>
      <c r="W27" s="68"/>
      <c r="X27" s="72"/>
      <c r="Y27" s="73"/>
      <c r="Z27" s="65">
        <v>1</v>
      </c>
      <c r="AA27" s="66"/>
      <c r="AB27" s="67">
        <v>1</v>
      </c>
      <c r="AC27" s="68"/>
      <c r="AD27" s="69"/>
      <c r="AE27" s="70"/>
      <c r="AF27" s="67"/>
      <c r="AG27" s="71"/>
      <c r="AH27" s="68"/>
      <c r="AI27" s="72"/>
      <c r="AJ27" s="73"/>
      <c r="AK27" s="65">
        <v>1</v>
      </c>
      <c r="AL27" s="66">
        <v>1</v>
      </c>
      <c r="AM27" s="67"/>
      <c r="AN27" s="68"/>
      <c r="AO27" s="69"/>
      <c r="AP27" s="70"/>
      <c r="AQ27" s="67"/>
      <c r="AR27" s="71"/>
      <c r="AS27" s="68"/>
      <c r="AT27" s="72"/>
      <c r="AU27" s="73"/>
      <c r="AV27" s="65"/>
      <c r="AW27" s="66">
        <v>1</v>
      </c>
      <c r="AX27" s="67"/>
      <c r="AY27" s="68">
        <v>1</v>
      </c>
      <c r="AZ27" s="69"/>
      <c r="BA27" s="70"/>
      <c r="BB27" s="67"/>
      <c r="BC27" s="71"/>
      <c r="BD27" s="68"/>
      <c r="BE27" s="72"/>
      <c r="BF27" s="73"/>
      <c r="BG27" s="65">
        <v>1</v>
      </c>
      <c r="BH27" s="66">
        <v>1</v>
      </c>
      <c r="BI27" s="67"/>
      <c r="BJ27" s="68"/>
      <c r="BK27" s="69"/>
      <c r="BL27" s="70"/>
      <c r="BM27" s="67"/>
      <c r="BN27" s="71"/>
      <c r="BO27" s="68"/>
      <c r="BP27" s="72"/>
      <c r="BQ27" s="73"/>
      <c r="BR27" s="65">
        <v>1</v>
      </c>
      <c r="BS27" s="66">
        <v>1</v>
      </c>
      <c r="BT27" s="67"/>
      <c r="BU27" s="68"/>
      <c r="BV27" s="69"/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>
        <v>1</v>
      </c>
      <c r="E28" s="66"/>
      <c r="F28" s="67">
        <v>1</v>
      </c>
      <c r="G28" s="68"/>
      <c r="H28" s="69"/>
      <c r="I28" s="70"/>
      <c r="J28" s="67"/>
      <c r="K28" s="71"/>
      <c r="L28" s="68"/>
      <c r="M28" s="72"/>
      <c r="N28" s="73"/>
      <c r="O28" s="65"/>
      <c r="P28" s="66"/>
      <c r="Q28" s="67">
        <v>0.5</v>
      </c>
      <c r="R28" s="68">
        <v>1</v>
      </c>
      <c r="S28" s="69"/>
      <c r="T28" s="70"/>
      <c r="U28" s="67"/>
      <c r="V28" s="71"/>
      <c r="W28" s="68"/>
      <c r="X28" s="72"/>
      <c r="Y28" s="73"/>
      <c r="Z28" s="65"/>
      <c r="AA28" s="66"/>
      <c r="AB28" s="67">
        <v>1</v>
      </c>
      <c r="AC28" s="68"/>
      <c r="AD28" s="69"/>
      <c r="AE28" s="70"/>
      <c r="AF28" s="67"/>
      <c r="AG28" s="71"/>
      <c r="AH28" s="68"/>
      <c r="AI28" s="72"/>
      <c r="AJ28" s="73"/>
      <c r="AK28" s="65">
        <v>1</v>
      </c>
      <c r="AL28" s="66">
        <v>1</v>
      </c>
      <c r="AM28" s="67"/>
      <c r="AN28" s="68"/>
      <c r="AO28" s="69"/>
      <c r="AP28" s="70"/>
      <c r="AQ28" s="67"/>
      <c r="AR28" s="71"/>
      <c r="AS28" s="68"/>
      <c r="AT28" s="72"/>
      <c r="AU28" s="73"/>
      <c r="AV28" s="65"/>
      <c r="AW28" s="66">
        <v>1</v>
      </c>
      <c r="AX28" s="67"/>
      <c r="AY28" s="68">
        <v>1</v>
      </c>
      <c r="AZ28" s="69"/>
      <c r="BA28" s="70"/>
      <c r="BB28" s="67"/>
      <c r="BC28" s="71"/>
      <c r="BD28" s="68"/>
      <c r="BE28" s="72"/>
      <c r="BF28" s="73"/>
      <c r="BG28" s="65">
        <v>1</v>
      </c>
      <c r="BH28" s="66">
        <v>1</v>
      </c>
      <c r="BI28" s="67"/>
      <c r="BJ28" s="68"/>
      <c r="BK28" s="69"/>
      <c r="BL28" s="70"/>
      <c r="BM28" s="67"/>
      <c r="BN28" s="71"/>
      <c r="BO28" s="68"/>
      <c r="BP28" s="72"/>
      <c r="BQ28" s="73"/>
      <c r="BR28" s="65">
        <v>1</v>
      </c>
      <c r="BS28" s="66">
        <v>1</v>
      </c>
      <c r="BT28" s="67"/>
      <c r="BU28" s="68"/>
      <c r="BV28" s="69"/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09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10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11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12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13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14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15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MILA</v>
      </c>
      <c r="E33" s="31" t="str">
        <f t="shared" si="0"/>
        <v xml:space="preserve">ALESSYA </v>
      </c>
      <c r="F33" s="32" t="str">
        <f t="shared" si="0"/>
        <v>AURORA</v>
      </c>
      <c r="G33" s="33" t="str">
        <f t="shared" si="0"/>
        <v>ALEJANDRO</v>
      </c>
      <c r="H33" s="34">
        <f t="shared" si="0"/>
        <v>0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MILA</v>
      </c>
      <c r="P33" s="31" t="str">
        <f t="shared" si="1"/>
        <v xml:space="preserve">ALESSYA </v>
      </c>
      <c r="Q33" s="32" t="str">
        <f t="shared" si="1"/>
        <v>AURORA</v>
      </c>
      <c r="R33" s="33" t="str">
        <f t="shared" si="1"/>
        <v>ALEJANDRO</v>
      </c>
      <c r="S33" s="34">
        <f t="shared" si="1"/>
        <v>0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MILA</v>
      </c>
      <c r="AA33" s="31" t="str">
        <f t="shared" si="2"/>
        <v xml:space="preserve">ALESSYA </v>
      </c>
      <c r="AB33" s="32" t="str">
        <f t="shared" si="2"/>
        <v>AURORA</v>
      </c>
      <c r="AC33" s="33" t="str">
        <f t="shared" si="2"/>
        <v>ALEJANDRO</v>
      </c>
      <c r="AD33" s="34">
        <f t="shared" si="2"/>
        <v>0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MILA</v>
      </c>
      <c r="AL33" s="31" t="str">
        <f t="shared" si="3"/>
        <v xml:space="preserve">ALESSYA </v>
      </c>
      <c r="AM33" s="32" t="str">
        <f t="shared" si="3"/>
        <v>AURORA</v>
      </c>
      <c r="AN33" s="33" t="str">
        <f t="shared" si="3"/>
        <v>ALEJANDRO</v>
      </c>
      <c r="AO33" s="34">
        <f t="shared" si="3"/>
        <v>0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MILA</v>
      </c>
      <c r="AW33" s="31" t="str">
        <f t="shared" si="4"/>
        <v xml:space="preserve">ALESSYA </v>
      </c>
      <c r="AX33" s="32" t="str">
        <f t="shared" si="4"/>
        <v>AURORA</v>
      </c>
      <c r="AY33" s="33" t="str">
        <f t="shared" si="4"/>
        <v>ALEJANDRO</v>
      </c>
      <c r="AZ33" s="34">
        <f t="shared" si="4"/>
        <v>0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MILA</v>
      </c>
      <c r="BH33" s="31" t="str">
        <f t="shared" si="5"/>
        <v xml:space="preserve">ALESSYA </v>
      </c>
      <c r="BI33" s="32" t="str">
        <f t="shared" si="5"/>
        <v>AURORA</v>
      </c>
      <c r="BJ33" s="33" t="str">
        <f t="shared" si="5"/>
        <v>ALEJANDRO</v>
      </c>
      <c r="BK33" s="34">
        <f t="shared" si="5"/>
        <v>0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MILA</v>
      </c>
      <c r="BS33" s="31" t="str">
        <f t="shared" si="6"/>
        <v xml:space="preserve">ALESSYA </v>
      </c>
      <c r="BT33" s="32" t="str">
        <f t="shared" si="6"/>
        <v>AURORA</v>
      </c>
      <c r="BU33" s="33" t="str">
        <f t="shared" si="6"/>
        <v>ALEJANDRO</v>
      </c>
      <c r="BV33" s="34">
        <f t="shared" si="6"/>
        <v>0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11</v>
      </c>
      <c r="E34" s="48">
        <f t="shared" ref="E34:M34" si="7">SUM(E7:E30)</f>
        <v>4</v>
      </c>
      <c r="F34" s="49">
        <f t="shared" si="7"/>
        <v>7</v>
      </c>
      <c r="G34" s="50">
        <f t="shared" si="7"/>
        <v>0</v>
      </c>
      <c r="H34" s="51">
        <f t="shared" si="7"/>
        <v>0</v>
      </c>
      <c r="I34" s="52">
        <f t="shared" si="7"/>
        <v>0</v>
      </c>
      <c r="J34" s="49">
        <f t="shared" si="7"/>
        <v>0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0</v>
      </c>
      <c r="P34" s="48">
        <f t="shared" si="8"/>
        <v>6</v>
      </c>
      <c r="Q34" s="49">
        <f t="shared" si="8"/>
        <v>4.5</v>
      </c>
      <c r="R34" s="50">
        <f t="shared" si="8"/>
        <v>8</v>
      </c>
      <c r="S34" s="51">
        <f t="shared" si="8"/>
        <v>0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10</v>
      </c>
      <c r="AA34" s="48">
        <f t="shared" si="9"/>
        <v>0</v>
      </c>
      <c r="AB34" s="49">
        <f t="shared" si="9"/>
        <v>8</v>
      </c>
      <c r="AC34" s="50">
        <f t="shared" si="9"/>
        <v>0</v>
      </c>
      <c r="AD34" s="51">
        <f t="shared" si="9"/>
        <v>0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8</v>
      </c>
      <c r="AL34" s="48">
        <f t="shared" si="10"/>
        <v>8</v>
      </c>
      <c r="AM34" s="49">
        <f t="shared" si="10"/>
        <v>0</v>
      </c>
      <c r="AN34" s="50">
        <f t="shared" si="10"/>
        <v>5.5</v>
      </c>
      <c r="AO34" s="51">
        <f t="shared" si="10"/>
        <v>0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7</v>
      </c>
      <c r="AW34" s="48">
        <f t="shared" si="11"/>
        <v>8</v>
      </c>
      <c r="AX34" s="49">
        <f t="shared" si="11"/>
        <v>0</v>
      </c>
      <c r="AY34" s="50">
        <f t="shared" si="11"/>
        <v>6</v>
      </c>
      <c r="AZ34" s="51">
        <f t="shared" si="11"/>
        <v>0</v>
      </c>
      <c r="BA34" s="52">
        <f t="shared" si="11"/>
        <v>0</v>
      </c>
      <c r="BB34" s="49">
        <f t="shared" si="11"/>
        <v>0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6</v>
      </c>
      <c r="BH34" s="48">
        <f t="shared" si="12"/>
        <v>11</v>
      </c>
      <c r="BI34" s="49">
        <f t="shared" si="12"/>
        <v>4</v>
      </c>
      <c r="BJ34" s="50">
        <f t="shared" si="12"/>
        <v>0</v>
      </c>
      <c r="BK34" s="51">
        <f t="shared" si="12"/>
        <v>0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6</v>
      </c>
      <c r="BS34" s="48">
        <f t="shared" si="13"/>
        <v>11</v>
      </c>
      <c r="BT34" s="49">
        <f t="shared" si="13"/>
        <v>0</v>
      </c>
      <c r="BU34" s="50">
        <f t="shared" si="13"/>
        <v>4</v>
      </c>
      <c r="BV34" s="51">
        <f t="shared" si="13"/>
        <v>0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17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48</v>
      </c>
      <c r="L39" s="111" t="s">
        <v>5</v>
      </c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18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48</v>
      </c>
      <c r="L40" s="111" t="s">
        <v>6</v>
      </c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19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23.5</v>
      </c>
      <c r="L41" s="100" t="s">
        <v>7</v>
      </c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20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23.5</v>
      </c>
      <c r="L42" s="100" t="s">
        <v>8</v>
      </c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/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0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0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0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41:J41"/>
    <mergeCell ref="L41:N41"/>
    <mergeCell ref="B42:J42"/>
    <mergeCell ref="L42:N42"/>
    <mergeCell ref="B43:J43"/>
    <mergeCell ref="L43:N43"/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</mergeCells>
  <conditionalFormatting sqref="D7:M14 D29:M30">
    <cfRule type="expression" dxfId="356" priority="14">
      <formula>IF(OR(D7=0,D7=""),TRUE(),FALSE())</formula>
    </cfRule>
  </conditionalFormatting>
  <conditionalFormatting sqref="D15:M28">
    <cfRule type="expression" dxfId="355" priority="13">
      <formula>IF(OR(D15=0,D15=""),TRUE(),FALSE())</formula>
    </cfRule>
  </conditionalFormatting>
  <conditionalFormatting sqref="O7:X14 O29:X30">
    <cfRule type="expression" dxfId="354" priority="12">
      <formula>IF(OR(O7=0,O7=""),TRUE(),FALSE())</formula>
    </cfRule>
  </conditionalFormatting>
  <conditionalFormatting sqref="O15:X28">
    <cfRule type="expression" dxfId="353" priority="11">
      <formula>IF(OR(O15=0,O15=""),TRUE(),FALSE())</formula>
    </cfRule>
  </conditionalFormatting>
  <conditionalFormatting sqref="Z7:AI14 Z29:AI30">
    <cfRule type="expression" dxfId="352" priority="10">
      <formula>IF(OR(Z7=0,Z7=""),TRUE(),FALSE())</formula>
    </cfRule>
  </conditionalFormatting>
  <conditionalFormatting sqref="Z15:AI28">
    <cfRule type="expression" dxfId="351" priority="9">
      <formula>IF(OR(Z15=0,Z15=""),TRUE(),FALSE())</formula>
    </cfRule>
  </conditionalFormatting>
  <conditionalFormatting sqref="AK7:AT14 AK29:AT30">
    <cfRule type="expression" dxfId="350" priority="8">
      <formula>IF(OR(AK7=0,AK7=""),TRUE(),FALSE())</formula>
    </cfRule>
  </conditionalFormatting>
  <conditionalFormatting sqref="AK15:AT28">
    <cfRule type="expression" dxfId="349" priority="7">
      <formula>IF(OR(AK15=0,AK15=""),TRUE(),FALSE())</formula>
    </cfRule>
  </conditionalFormatting>
  <conditionalFormatting sqref="AV7:BE14 AV29:BE30">
    <cfRule type="expression" dxfId="348" priority="6">
      <formula>IF(OR(AV7=0,AV7=""),TRUE(),FALSE())</formula>
    </cfRule>
  </conditionalFormatting>
  <conditionalFormatting sqref="AV15:BE28">
    <cfRule type="expression" dxfId="347" priority="5">
      <formula>IF(OR(AV15=0,AV15=""),TRUE(),FALSE())</formula>
    </cfRule>
  </conditionalFormatting>
  <conditionalFormatting sqref="BG7:BP14 BG29:BP30">
    <cfRule type="expression" dxfId="346" priority="4">
      <formula>IF(OR(BG7=0,BG7=""),TRUE(),FALSE())</formula>
    </cfRule>
  </conditionalFormatting>
  <conditionalFormatting sqref="BG15:BP28">
    <cfRule type="expression" dxfId="345" priority="3">
      <formula>IF(OR(BG15=0,BG15=""),TRUE(),FALSE())</formula>
    </cfRule>
  </conditionalFormatting>
  <conditionalFormatting sqref="BR7:CA14 BR29:CA30">
    <cfRule type="expression" dxfId="344" priority="2">
      <formula>IF(OR(BR7=0,BR7=""),TRUE(),FALSE())</formula>
    </cfRule>
  </conditionalFormatting>
  <conditionalFormatting sqref="BR15:CA28">
    <cfRule type="expression" dxfId="343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8E51B30B-AAA6-47C7-86A8-7BBB93D886CC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1D17C-A687-48AB-8931-2003DCDB95E1}">
  <sheetPr codeName="Hoja4"/>
  <dimension ref="A1:CA48"/>
  <sheetViews>
    <sheetView showGridLines="0" zoomScale="80" zoomScaleNormal="80" workbookViewId="0">
      <pane xSplit="3" ySplit="6" topLeftCell="D7" activePane="bottomRight" state="frozen"/>
      <selection pane="topRight" activeCell="D1" sqref="D1"/>
      <selection pane="bottomLeft" activeCell="A8" sqref="A8"/>
      <selection pane="bottomRight" activeCell="BS21" sqref="BS21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16 DE MARZO AL 22 DE MARZO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46097</v>
      </c>
      <c r="D5" s="63" t="str">
        <f>CONCATENATE("Lunes ",TEXT(DAY(C5),"00"))</f>
        <v>Lunes 16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17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18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19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20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21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22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27</v>
      </c>
      <c r="E6" s="9" t="s">
        <v>23</v>
      </c>
      <c r="F6" s="10" t="s">
        <v>16</v>
      </c>
      <c r="G6" s="11" t="s">
        <v>21</v>
      </c>
      <c r="H6" s="12" t="s">
        <v>13</v>
      </c>
      <c r="I6" s="13"/>
      <c r="J6" s="10"/>
      <c r="K6" s="14"/>
      <c r="L6" s="11"/>
      <c r="M6" s="15"/>
      <c r="O6" s="8" t="str">
        <f>D6</f>
        <v>ALONDRA</v>
      </c>
      <c r="P6" s="9" t="str">
        <f>E6</f>
        <v>TRIANA</v>
      </c>
      <c r="Q6" s="10" t="str">
        <f>F6</f>
        <v>ALEJANDRO</v>
      </c>
      <c r="R6" s="11" t="str">
        <f>G6</f>
        <v>LINDSAY</v>
      </c>
      <c r="S6" s="12" t="str">
        <f>H6</f>
        <v>MILA</v>
      </c>
      <c r="T6" s="13"/>
      <c r="U6" s="10"/>
      <c r="V6" s="14"/>
      <c r="W6" s="11"/>
      <c r="X6" s="15"/>
      <c r="Z6" s="8" t="str">
        <f>O6</f>
        <v>ALONDRA</v>
      </c>
      <c r="AA6" s="9" t="str">
        <f>P6</f>
        <v>TRIANA</v>
      </c>
      <c r="AB6" s="10" t="str">
        <f>Q6</f>
        <v>ALEJANDRO</v>
      </c>
      <c r="AC6" s="11" t="str">
        <f>R6</f>
        <v>LINDSAY</v>
      </c>
      <c r="AD6" s="12" t="str">
        <f>H6</f>
        <v>MILA</v>
      </c>
      <c r="AE6" s="13"/>
      <c r="AF6" s="10"/>
      <c r="AG6" s="14"/>
      <c r="AH6" s="11"/>
      <c r="AI6" s="15"/>
      <c r="AK6" s="8" t="str">
        <f>Z6</f>
        <v>ALONDRA</v>
      </c>
      <c r="AL6" s="9" t="str">
        <f>AA6</f>
        <v>TRIANA</v>
      </c>
      <c r="AM6" s="10" t="str">
        <f>AB6</f>
        <v>ALEJANDRO</v>
      </c>
      <c r="AN6" s="11" t="str">
        <f>AC6</f>
        <v>LINDSAY</v>
      </c>
      <c r="AO6" s="12" t="str">
        <f>H6</f>
        <v>MILA</v>
      </c>
      <c r="AP6" s="13"/>
      <c r="AQ6" s="10"/>
      <c r="AR6" s="14"/>
      <c r="AS6" s="11"/>
      <c r="AT6" s="15"/>
      <c r="AV6" s="8" t="str">
        <f>AK6</f>
        <v>ALONDRA</v>
      </c>
      <c r="AW6" s="9" t="str">
        <f>AL6</f>
        <v>TRIANA</v>
      </c>
      <c r="AX6" s="10" t="str">
        <f>AM6</f>
        <v>ALEJANDRO</v>
      </c>
      <c r="AY6" s="11" t="str">
        <f>AN6</f>
        <v>LINDSAY</v>
      </c>
      <c r="AZ6" s="12" t="str">
        <f>H6</f>
        <v>MILA</v>
      </c>
      <c r="BA6" s="13"/>
      <c r="BB6" s="10"/>
      <c r="BC6" s="14"/>
      <c r="BD6" s="11"/>
      <c r="BE6" s="15"/>
      <c r="BG6" s="8" t="str">
        <f>AV6</f>
        <v>ALONDRA</v>
      </c>
      <c r="BH6" s="9" t="str">
        <f>AW6</f>
        <v>TRIANA</v>
      </c>
      <c r="BI6" s="10" t="str">
        <f>AB6</f>
        <v>ALEJANDRO</v>
      </c>
      <c r="BJ6" s="11" t="str">
        <f>AC6</f>
        <v>LINDSAY</v>
      </c>
      <c r="BK6" s="12" t="str">
        <f>S6</f>
        <v>MILA</v>
      </c>
      <c r="BL6" s="13"/>
      <c r="BM6" s="10"/>
      <c r="BN6" s="14"/>
      <c r="BO6" s="11"/>
      <c r="BP6" s="15"/>
      <c r="BR6" s="8" t="str">
        <f>AV6</f>
        <v>ALONDRA</v>
      </c>
      <c r="BS6" s="9" t="str">
        <f>BH6</f>
        <v>TRIANA</v>
      </c>
      <c r="BT6" s="10" t="str">
        <f>AX6</f>
        <v>ALEJANDRO</v>
      </c>
      <c r="BU6" s="11" t="str">
        <f>BJ6</f>
        <v>LINDSAY</v>
      </c>
      <c r="BV6" s="12" t="s">
        <v>13</v>
      </c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/>
      <c r="BB14" s="18"/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/>
      <c r="H15" s="69"/>
      <c r="I15" s="70"/>
      <c r="J15" s="67"/>
      <c r="K15" s="71"/>
      <c r="L15" s="68"/>
      <c r="M15" s="72"/>
      <c r="N15" s="73"/>
      <c r="O15" s="65"/>
      <c r="P15" s="66"/>
      <c r="Q15" s="67"/>
      <c r="R15" s="68">
        <v>0.5</v>
      </c>
      <c r="S15" s="69">
        <v>0.5</v>
      </c>
      <c r="T15" s="70"/>
      <c r="U15" s="67"/>
      <c r="V15" s="71"/>
      <c r="W15" s="68"/>
      <c r="X15" s="72"/>
      <c r="Y15" s="73"/>
      <c r="Z15" s="65"/>
      <c r="AA15" s="66"/>
      <c r="AB15" s="67"/>
      <c r="AC15" s="68">
        <v>0.5</v>
      </c>
      <c r="AD15" s="69">
        <v>0.5</v>
      </c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/>
      <c r="BI15" s="67"/>
      <c r="BJ15" s="68"/>
      <c r="BK15" s="69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/>
      <c r="F16" s="67">
        <v>0.5</v>
      </c>
      <c r="G16" s="68">
        <v>0.5</v>
      </c>
      <c r="H16" s="69"/>
      <c r="I16" s="70"/>
      <c r="J16" s="67"/>
      <c r="K16" s="71"/>
      <c r="L16" s="68"/>
      <c r="M16" s="72"/>
      <c r="N16" s="73"/>
      <c r="O16" s="65"/>
      <c r="P16" s="66"/>
      <c r="Q16" s="67"/>
      <c r="R16" s="68">
        <v>0.5</v>
      </c>
      <c r="S16" s="69">
        <v>0.5</v>
      </c>
      <c r="T16" s="70"/>
      <c r="U16" s="67"/>
      <c r="V16" s="71"/>
      <c r="W16" s="68"/>
      <c r="X16" s="72"/>
      <c r="Y16" s="73"/>
      <c r="Z16" s="65"/>
      <c r="AA16" s="66"/>
      <c r="AB16" s="67"/>
      <c r="AC16" s="68">
        <v>0.5</v>
      </c>
      <c r="AD16" s="69">
        <v>0.5</v>
      </c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6"/>
      <c r="BI16" s="67"/>
      <c r="BJ16" s="68"/>
      <c r="BK16" s="69"/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/>
      <c r="F17" s="67">
        <v>0.5</v>
      </c>
      <c r="G17" s="68">
        <v>0.5</v>
      </c>
      <c r="H17" s="69">
        <v>1</v>
      </c>
      <c r="I17" s="70"/>
      <c r="J17" s="67"/>
      <c r="K17" s="71"/>
      <c r="L17" s="68"/>
      <c r="M17" s="72"/>
      <c r="N17" s="73"/>
      <c r="O17" s="65"/>
      <c r="P17" s="66"/>
      <c r="Q17" s="67">
        <v>0.5</v>
      </c>
      <c r="R17" s="68">
        <v>1</v>
      </c>
      <c r="S17" s="69"/>
      <c r="T17" s="70"/>
      <c r="U17" s="67"/>
      <c r="V17" s="71"/>
      <c r="W17" s="68"/>
      <c r="X17" s="72"/>
      <c r="Y17" s="73"/>
      <c r="Z17" s="65"/>
      <c r="AA17" s="66"/>
      <c r="AB17" s="67"/>
      <c r="AC17" s="68"/>
      <c r="AD17" s="69">
        <v>1</v>
      </c>
      <c r="AE17" s="70"/>
      <c r="AF17" s="67"/>
      <c r="AG17" s="71"/>
      <c r="AH17" s="68"/>
      <c r="AI17" s="72"/>
      <c r="AJ17" s="73"/>
      <c r="AK17" s="65"/>
      <c r="AL17" s="66"/>
      <c r="AM17" s="67"/>
      <c r="AN17" s="68"/>
      <c r="AO17" s="69">
        <v>1</v>
      </c>
      <c r="AP17" s="70"/>
      <c r="AQ17" s="67"/>
      <c r="AR17" s="71"/>
      <c r="AS17" s="68"/>
      <c r="AT17" s="72"/>
      <c r="AU17" s="73"/>
      <c r="AV17" s="65">
        <v>1</v>
      </c>
      <c r="AW17" s="66"/>
      <c r="AX17" s="67"/>
      <c r="AY17" s="68">
        <v>1</v>
      </c>
      <c r="AZ17" s="69"/>
      <c r="BA17" s="70"/>
      <c r="BB17" s="67"/>
      <c r="BC17" s="71"/>
      <c r="BD17" s="68"/>
      <c r="BE17" s="72"/>
      <c r="BF17" s="73"/>
      <c r="BG17" s="65"/>
      <c r="BH17" s="66"/>
      <c r="BI17" s="67">
        <v>1</v>
      </c>
      <c r="BJ17" s="68">
        <v>0.5</v>
      </c>
      <c r="BK17" s="69"/>
      <c r="BL17" s="70"/>
      <c r="BM17" s="67"/>
      <c r="BN17" s="71"/>
      <c r="BO17" s="68"/>
      <c r="BP17" s="72"/>
      <c r="BQ17" s="73"/>
      <c r="BR17" s="65"/>
      <c r="BS17" s="66">
        <v>1</v>
      </c>
      <c r="BT17" s="67"/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/>
      <c r="F18" s="67"/>
      <c r="G18" s="68"/>
      <c r="H18" s="69">
        <v>1</v>
      </c>
      <c r="I18" s="70"/>
      <c r="J18" s="67"/>
      <c r="K18" s="71"/>
      <c r="L18" s="68"/>
      <c r="M18" s="72"/>
      <c r="N18" s="73"/>
      <c r="O18" s="65"/>
      <c r="P18" s="66"/>
      <c r="Q18" s="67">
        <v>1</v>
      </c>
      <c r="R18" s="68">
        <v>1</v>
      </c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/>
      <c r="AD18" s="69">
        <v>1</v>
      </c>
      <c r="AE18" s="70"/>
      <c r="AF18" s="67"/>
      <c r="AG18" s="71"/>
      <c r="AH18" s="68"/>
      <c r="AI18" s="72"/>
      <c r="AJ18" s="73"/>
      <c r="AK18" s="65"/>
      <c r="AL18" s="66"/>
      <c r="AM18" s="67"/>
      <c r="AN18" s="68">
        <v>1</v>
      </c>
      <c r="AO18" s="69">
        <v>1</v>
      </c>
      <c r="AP18" s="70"/>
      <c r="AQ18" s="67"/>
      <c r="AR18" s="71"/>
      <c r="AS18" s="68"/>
      <c r="AT18" s="72"/>
      <c r="AU18" s="73"/>
      <c r="AV18" s="65">
        <v>1</v>
      </c>
      <c r="AW18" s="66"/>
      <c r="AX18" s="67"/>
      <c r="AY18" s="68">
        <v>1</v>
      </c>
      <c r="AZ18" s="69"/>
      <c r="BA18" s="70"/>
      <c r="BB18" s="67"/>
      <c r="BC18" s="71"/>
      <c r="BD18" s="68"/>
      <c r="BE18" s="72"/>
      <c r="BF18" s="73"/>
      <c r="BG18" s="65"/>
      <c r="BH18" s="66"/>
      <c r="BI18" s="67">
        <v>1</v>
      </c>
      <c r="BJ18" s="68">
        <v>1</v>
      </c>
      <c r="BK18" s="69"/>
      <c r="BL18" s="70"/>
      <c r="BM18" s="67"/>
      <c r="BN18" s="71"/>
      <c r="BO18" s="68"/>
      <c r="BP18" s="72"/>
      <c r="BQ18" s="73"/>
      <c r="BR18" s="65"/>
      <c r="BS18" s="66">
        <v>1</v>
      </c>
      <c r="BT18" s="67"/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/>
      <c r="F19" s="67"/>
      <c r="G19" s="68"/>
      <c r="H19" s="69">
        <v>1</v>
      </c>
      <c r="I19" s="70"/>
      <c r="J19" s="67"/>
      <c r="K19" s="71"/>
      <c r="L19" s="68"/>
      <c r="M19" s="72"/>
      <c r="N19" s="73"/>
      <c r="O19" s="65"/>
      <c r="P19" s="66"/>
      <c r="Q19" s="67">
        <v>1</v>
      </c>
      <c r="R19" s="68">
        <v>1</v>
      </c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/>
      <c r="AD19" s="69">
        <v>1</v>
      </c>
      <c r="AE19" s="70"/>
      <c r="AF19" s="67"/>
      <c r="AG19" s="71"/>
      <c r="AH19" s="68"/>
      <c r="AI19" s="72"/>
      <c r="AJ19" s="73"/>
      <c r="AK19" s="65">
        <v>1</v>
      </c>
      <c r="AL19" s="66"/>
      <c r="AM19" s="67"/>
      <c r="AN19" s="68">
        <v>1</v>
      </c>
      <c r="AO19" s="69">
        <v>1</v>
      </c>
      <c r="AP19" s="70"/>
      <c r="AQ19" s="67"/>
      <c r="AR19" s="71"/>
      <c r="AS19" s="68"/>
      <c r="AT19" s="72"/>
      <c r="AU19" s="73"/>
      <c r="AV19" s="65">
        <v>1</v>
      </c>
      <c r="AW19" s="66"/>
      <c r="AX19" s="67"/>
      <c r="AY19" s="68">
        <v>1</v>
      </c>
      <c r="AZ19" s="69"/>
      <c r="BA19" s="70"/>
      <c r="BB19" s="67"/>
      <c r="BC19" s="71"/>
      <c r="BD19" s="68"/>
      <c r="BE19" s="72"/>
      <c r="BF19" s="73"/>
      <c r="BG19" s="65"/>
      <c r="BH19" s="66"/>
      <c r="BI19" s="67">
        <v>1</v>
      </c>
      <c r="BJ19" s="68">
        <v>1</v>
      </c>
      <c r="BK19" s="69"/>
      <c r="BL19" s="70"/>
      <c r="BM19" s="67"/>
      <c r="BN19" s="71"/>
      <c r="BO19" s="68"/>
      <c r="BP19" s="72"/>
      <c r="BQ19" s="73"/>
      <c r="BR19" s="65"/>
      <c r="BS19" s="66">
        <v>1</v>
      </c>
      <c r="BT19" s="67"/>
      <c r="BU19" s="68"/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>
        <v>0.5</v>
      </c>
      <c r="E20" s="66"/>
      <c r="F20" s="67"/>
      <c r="G20" s="68">
        <v>0.5</v>
      </c>
      <c r="H20" s="69"/>
      <c r="I20" s="70"/>
      <c r="J20" s="67"/>
      <c r="K20" s="71"/>
      <c r="L20" s="68"/>
      <c r="M20" s="72"/>
      <c r="N20" s="74"/>
      <c r="O20" s="65"/>
      <c r="P20" s="66"/>
      <c r="Q20" s="67">
        <v>1</v>
      </c>
      <c r="R20" s="68"/>
      <c r="S20" s="69"/>
      <c r="T20" s="70"/>
      <c r="U20" s="67"/>
      <c r="V20" s="71"/>
      <c r="W20" s="68"/>
      <c r="X20" s="72"/>
      <c r="Y20" s="74"/>
      <c r="Z20" s="65"/>
      <c r="AA20" s="66">
        <v>1</v>
      </c>
      <c r="AB20" s="67"/>
      <c r="AC20" s="68"/>
      <c r="AD20" s="69">
        <v>1</v>
      </c>
      <c r="AE20" s="70"/>
      <c r="AF20" s="67"/>
      <c r="AG20" s="71"/>
      <c r="AH20" s="68"/>
      <c r="AI20" s="72"/>
      <c r="AJ20" s="74"/>
      <c r="AK20" s="65"/>
      <c r="AL20" s="66"/>
      <c r="AM20" s="67"/>
      <c r="AN20" s="68">
        <v>1</v>
      </c>
      <c r="AO20" s="69">
        <v>1</v>
      </c>
      <c r="AP20" s="70"/>
      <c r="AQ20" s="67"/>
      <c r="AR20" s="71"/>
      <c r="AS20" s="68"/>
      <c r="AT20" s="72"/>
      <c r="AU20" s="74"/>
      <c r="AV20" s="65">
        <v>1</v>
      </c>
      <c r="AW20" s="66"/>
      <c r="AX20" s="67"/>
      <c r="AY20" s="68"/>
      <c r="AZ20" s="69"/>
      <c r="BA20" s="70"/>
      <c r="BB20" s="67"/>
      <c r="BC20" s="71"/>
      <c r="BD20" s="68"/>
      <c r="BE20" s="72"/>
      <c r="BF20" s="74"/>
      <c r="BG20" s="65"/>
      <c r="BH20" s="66"/>
      <c r="BI20" s="67">
        <v>1</v>
      </c>
      <c r="BJ20" s="68"/>
      <c r="BK20" s="69"/>
      <c r="BL20" s="70"/>
      <c r="BM20" s="67"/>
      <c r="BN20" s="71"/>
      <c r="BO20" s="68"/>
      <c r="BP20" s="72"/>
      <c r="BQ20" s="74"/>
      <c r="BR20" s="65"/>
      <c r="BS20" s="66">
        <v>1</v>
      </c>
      <c r="BT20" s="67"/>
      <c r="BU20" s="68"/>
      <c r="BV20" s="69"/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>
        <v>1</v>
      </c>
      <c r="E21" s="66"/>
      <c r="F21" s="67"/>
      <c r="G21" s="68">
        <v>1</v>
      </c>
      <c r="H21" s="69">
        <v>1</v>
      </c>
      <c r="I21" s="70"/>
      <c r="J21" s="67"/>
      <c r="K21" s="71"/>
      <c r="L21" s="68"/>
      <c r="M21" s="72"/>
      <c r="N21" s="73"/>
      <c r="O21" s="65"/>
      <c r="P21" s="66"/>
      <c r="Q21" s="67"/>
      <c r="R21" s="68">
        <v>1</v>
      </c>
      <c r="S21" s="69"/>
      <c r="T21" s="70"/>
      <c r="U21" s="67"/>
      <c r="V21" s="71"/>
      <c r="W21" s="68"/>
      <c r="X21" s="72"/>
      <c r="Y21" s="73"/>
      <c r="Z21" s="65"/>
      <c r="AA21" s="66">
        <v>1</v>
      </c>
      <c r="AB21" s="67"/>
      <c r="AC21" s="68"/>
      <c r="AD21" s="69"/>
      <c r="AE21" s="70"/>
      <c r="AF21" s="67"/>
      <c r="AG21" s="71"/>
      <c r="AH21" s="68"/>
      <c r="AI21" s="72"/>
      <c r="AJ21" s="73"/>
      <c r="AK21" s="65">
        <v>1</v>
      </c>
      <c r="AL21" s="66"/>
      <c r="AM21" s="67"/>
      <c r="AN21" s="68"/>
      <c r="AO21" s="69">
        <v>1</v>
      </c>
      <c r="AP21" s="70"/>
      <c r="AQ21" s="67"/>
      <c r="AR21" s="71"/>
      <c r="AS21" s="68"/>
      <c r="AT21" s="72"/>
      <c r="AU21" s="73"/>
      <c r="AV21" s="65">
        <v>0.5</v>
      </c>
      <c r="AW21" s="66"/>
      <c r="AX21" s="67">
        <v>1</v>
      </c>
      <c r="AY21" s="68">
        <v>1</v>
      </c>
      <c r="AZ21" s="69"/>
      <c r="BA21" s="70"/>
      <c r="BB21" s="67"/>
      <c r="BC21" s="71"/>
      <c r="BD21" s="68"/>
      <c r="BE21" s="72"/>
      <c r="BF21" s="73"/>
      <c r="BG21" s="65"/>
      <c r="BH21" s="66"/>
      <c r="BI21" s="67">
        <v>1</v>
      </c>
      <c r="BJ21" s="68">
        <v>1</v>
      </c>
      <c r="BK21" s="69"/>
      <c r="BL21" s="70"/>
      <c r="BM21" s="67"/>
      <c r="BN21" s="71"/>
      <c r="BO21" s="68"/>
      <c r="BP21" s="72"/>
      <c r="BQ21" s="73"/>
      <c r="BR21" s="65"/>
      <c r="BS21" s="66"/>
      <c r="BT21" s="67"/>
      <c r="BU21" s="68"/>
      <c r="BV21" s="69">
        <v>1</v>
      </c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/>
      <c r="G22" s="68"/>
      <c r="H22" s="69">
        <v>1</v>
      </c>
      <c r="I22" s="70"/>
      <c r="J22" s="67"/>
      <c r="K22" s="71"/>
      <c r="L22" s="68"/>
      <c r="M22" s="72"/>
      <c r="N22" s="73"/>
      <c r="O22" s="65"/>
      <c r="P22" s="66"/>
      <c r="Q22" s="67">
        <v>1</v>
      </c>
      <c r="R22" s="68">
        <v>1</v>
      </c>
      <c r="S22" s="69"/>
      <c r="T22" s="70"/>
      <c r="U22" s="67"/>
      <c r="V22" s="71"/>
      <c r="W22" s="68"/>
      <c r="X22" s="72"/>
      <c r="Y22" s="73"/>
      <c r="Z22" s="65"/>
      <c r="AA22" s="66"/>
      <c r="AB22" s="67"/>
      <c r="AC22" s="68"/>
      <c r="AD22" s="69">
        <v>1</v>
      </c>
      <c r="AE22" s="70"/>
      <c r="AF22" s="67"/>
      <c r="AG22" s="71"/>
      <c r="AH22" s="68"/>
      <c r="AI22" s="72"/>
      <c r="AJ22" s="73"/>
      <c r="AK22" s="65">
        <v>1</v>
      </c>
      <c r="AL22" s="66"/>
      <c r="AM22" s="67"/>
      <c r="AN22" s="68">
        <v>1</v>
      </c>
      <c r="AO22" s="69"/>
      <c r="AP22" s="70"/>
      <c r="AQ22" s="67"/>
      <c r="AR22" s="71"/>
      <c r="AS22" s="68"/>
      <c r="AT22" s="72"/>
      <c r="AU22" s="73"/>
      <c r="AV22" s="65"/>
      <c r="AW22" s="66"/>
      <c r="AX22" s="67"/>
      <c r="AY22" s="68">
        <v>1</v>
      </c>
      <c r="AZ22" s="69">
        <v>1</v>
      </c>
      <c r="BA22" s="70"/>
      <c r="BB22" s="67"/>
      <c r="BC22" s="71"/>
      <c r="BD22" s="68"/>
      <c r="BE22" s="72"/>
      <c r="BF22" s="73"/>
      <c r="BG22" s="65"/>
      <c r="BH22" s="66"/>
      <c r="BI22" s="67"/>
      <c r="BJ22" s="68">
        <v>1</v>
      </c>
      <c r="BK22" s="69">
        <v>1</v>
      </c>
      <c r="BL22" s="70"/>
      <c r="BM22" s="67"/>
      <c r="BN22" s="71"/>
      <c r="BO22" s="68"/>
      <c r="BP22" s="72"/>
      <c r="BQ22" s="73"/>
      <c r="BR22" s="65"/>
      <c r="BS22" s="66">
        <v>1</v>
      </c>
      <c r="BT22" s="67"/>
      <c r="BU22" s="68"/>
      <c r="BV22" s="69"/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>
        <v>1</v>
      </c>
      <c r="E23" s="66"/>
      <c r="F23" s="67"/>
      <c r="G23" s="68">
        <v>1</v>
      </c>
      <c r="H23" s="69">
        <v>1</v>
      </c>
      <c r="I23" s="70"/>
      <c r="J23" s="67"/>
      <c r="K23" s="71"/>
      <c r="L23" s="68"/>
      <c r="M23" s="72"/>
      <c r="N23" s="73"/>
      <c r="O23" s="65"/>
      <c r="P23" s="66"/>
      <c r="Q23" s="67">
        <v>1</v>
      </c>
      <c r="R23" s="68">
        <v>1</v>
      </c>
      <c r="S23" s="69"/>
      <c r="T23" s="70"/>
      <c r="U23" s="67"/>
      <c r="V23" s="71"/>
      <c r="W23" s="68"/>
      <c r="X23" s="72"/>
      <c r="Y23" s="73"/>
      <c r="Z23" s="65"/>
      <c r="AA23" s="66">
        <v>1</v>
      </c>
      <c r="AB23" s="67"/>
      <c r="AC23" s="68"/>
      <c r="AD23" s="69">
        <v>1</v>
      </c>
      <c r="AE23" s="70"/>
      <c r="AF23" s="67"/>
      <c r="AG23" s="71"/>
      <c r="AH23" s="68"/>
      <c r="AI23" s="72"/>
      <c r="AJ23" s="73"/>
      <c r="AK23" s="65">
        <v>1</v>
      </c>
      <c r="AL23" s="66"/>
      <c r="AM23" s="67"/>
      <c r="AN23" s="68">
        <v>1</v>
      </c>
      <c r="AO23" s="69"/>
      <c r="AP23" s="70"/>
      <c r="AQ23" s="67"/>
      <c r="AR23" s="71"/>
      <c r="AS23" s="68"/>
      <c r="AT23" s="72"/>
      <c r="AU23" s="73"/>
      <c r="AV23" s="65"/>
      <c r="AW23" s="66"/>
      <c r="AX23" s="67">
        <v>1</v>
      </c>
      <c r="AY23" s="68">
        <v>1</v>
      </c>
      <c r="AZ23" s="69"/>
      <c r="BA23" s="70"/>
      <c r="BB23" s="67"/>
      <c r="BC23" s="71"/>
      <c r="BD23" s="68"/>
      <c r="BE23" s="72"/>
      <c r="BF23" s="73"/>
      <c r="BG23" s="65"/>
      <c r="BH23" s="66">
        <v>1</v>
      </c>
      <c r="BI23" s="67"/>
      <c r="BJ23" s="68">
        <v>1</v>
      </c>
      <c r="BK23" s="69"/>
      <c r="BL23" s="70"/>
      <c r="BM23" s="67"/>
      <c r="BN23" s="71"/>
      <c r="BO23" s="68"/>
      <c r="BP23" s="72"/>
      <c r="BQ23" s="73"/>
      <c r="BR23" s="65">
        <v>1</v>
      </c>
      <c r="BS23" s="66">
        <v>1</v>
      </c>
      <c r="BT23" s="67"/>
      <c r="BU23" s="68"/>
      <c r="BV23" s="69">
        <v>1</v>
      </c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>
        <v>1</v>
      </c>
      <c r="E24" s="66">
        <v>1</v>
      </c>
      <c r="F24" s="67"/>
      <c r="G24" s="68">
        <v>1</v>
      </c>
      <c r="H24" s="69">
        <v>1</v>
      </c>
      <c r="I24" s="70"/>
      <c r="J24" s="67"/>
      <c r="K24" s="71"/>
      <c r="L24" s="68"/>
      <c r="M24" s="72"/>
      <c r="N24" s="73"/>
      <c r="O24" s="65"/>
      <c r="P24" s="66"/>
      <c r="Q24" s="67">
        <v>1</v>
      </c>
      <c r="R24" s="68">
        <v>1</v>
      </c>
      <c r="S24" s="69"/>
      <c r="T24" s="70"/>
      <c r="U24" s="67"/>
      <c r="V24" s="71"/>
      <c r="W24" s="68"/>
      <c r="X24" s="72"/>
      <c r="Y24" s="73"/>
      <c r="Z24" s="65"/>
      <c r="AA24" s="66">
        <v>1</v>
      </c>
      <c r="AB24" s="67"/>
      <c r="AC24" s="68"/>
      <c r="AD24" s="69">
        <v>1</v>
      </c>
      <c r="AE24" s="70"/>
      <c r="AF24" s="67"/>
      <c r="AG24" s="71"/>
      <c r="AH24" s="68"/>
      <c r="AI24" s="72"/>
      <c r="AJ24" s="73"/>
      <c r="AK24" s="65">
        <v>1</v>
      </c>
      <c r="AL24" s="66"/>
      <c r="AM24" s="67"/>
      <c r="AN24" s="68">
        <v>1</v>
      </c>
      <c r="AO24" s="69"/>
      <c r="AP24" s="70"/>
      <c r="AQ24" s="67"/>
      <c r="AR24" s="71"/>
      <c r="AS24" s="68"/>
      <c r="AT24" s="72"/>
      <c r="AU24" s="73"/>
      <c r="AV24" s="65"/>
      <c r="AW24" s="66"/>
      <c r="AX24" s="67">
        <v>1</v>
      </c>
      <c r="AY24" s="68"/>
      <c r="AZ24" s="69">
        <v>1</v>
      </c>
      <c r="BA24" s="70"/>
      <c r="BB24" s="67"/>
      <c r="BC24" s="71"/>
      <c r="BD24" s="68"/>
      <c r="BE24" s="72"/>
      <c r="BF24" s="73"/>
      <c r="BG24" s="65"/>
      <c r="BH24" s="66">
        <v>1</v>
      </c>
      <c r="BI24" s="67"/>
      <c r="BJ24" s="68"/>
      <c r="BK24" s="69">
        <v>1</v>
      </c>
      <c r="BL24" s="70"/>
      <c r="BM24" s="67"/>
      <c r="BN24" s="71"/>
      <c r="BO24" s="68"/>
      <c r="BP24" s="72"/>
      <c r="BQ24" s="73"/>
      <c r="BR24" s="65">
        <v>1</v>
      </c>
      <c r="BS24" s="66"/>
      <c r="BT24" s="67"/>
      <c r="BU24" s="68">
        <v>1</v>
      </c>
      <c r="BV24" s="69">
        <v>1</v>
      </c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>
        <v>0.5</v>
      </c>
      <c r="E25" s="66">
        <v>1</v>
      </c>
      <c r="F25" s="67"/>
      <c r="G25" s="68">
        <v>1</v>
      </c>
      <c r="H25" s="69">
        <v>1</v>
      </c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>
        <v>1</v>
      </c>
      <c r="S25" s="69"/>
      <c r="T25" s="70"/>
      <c r="U25" s="67"/>
      <c r="V25" s="71"/>
      <c r="W25" s="68"/>
      <c r="X25" s="72"/>
      <c r="Y25" s="73"/>
      <c r="Z25" s="65"/>
      <c r="AA25" s="66">
        <v>1</v>
      </c>
      <c r="AB25" s="67"/>
      <c r="AC25" s="68"/>
      <c r="AD25" s="69">
        <v>1</v>
      </c>
      <c r="AE25" s="70"/>
      <c r="AF25" s="67"/>
      <c r="AG25" s="71"/>
      <c r="AH25" s="68"/>
      <c r="AI25" s="72"/>
      <c r="AJ25" s="73"/>
      <c r="AK25" s="65">
        <v>1</v>
      </c>
      <c r="AL25" s="66"/>
      <c r="AM25" s="67"/>
      <c r="AN25" s="68">
        <v>1</v>
      </c>
      <c r="AO25" s="69"/>
      <c r="AP25" s="70"/>
      <c r="AQ25" s="67"/>
      <c r="AR25" s="71"/>
      <c r="AS25" s="68"/>
      <c r="AT25" s="72"/>
      <c r="AU25" s="73"/>
      <c r="AV25" s="65"/>
      <c r="AW25" s="66"/>
      <c r="AX25" s="67">
        <v>1</v>
      </c>
      <c r="AY25" s="68"/>
      <c r="AZ25" s="69">
        <v>1</v>
      </c>
      <c r="BA25" s="70"/>
      <c r="BB25" s="67"/>
      <c r="BC25" s="71"/>
      <c r="BD25" s="68"/>
      <c r="BE25" s="72"/>
      <c r="BF25" s="73"/>
      <c r="BG25" s="65"/>
      <c r="BH25" s="66">
        <v>1</v>
      </c>
      <c r="BI25" s="67"/>
      <c r="BJ25" s="68"/>
      <c r="BK25" s="69">
        <v>1</v>
      </c>
      <c r="BL25" s="70"/>
      <c r="BM25" s="67"/>
      <c r="BN25" s="71"/>
      <c r="BO25" s="68"/>
      <c r="BP25" s="72"/>
      <c r="BQ25" s="73"/>
      <c r="BR25" s="65">
        <v>1</v>
      </c>
      <c r="BS25" s="66"/>
      <c r="BT25" s="67"/>
      <c r="BU25" s="68">
        <v>1</v>
      </c>
      <c r="BV25" s="69">
        <v>1</v>
      </c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/>
      <c r="E26" s="66">
        <v>1</v>
      </c>
      <c r="F26" s="67"/>
      <c r="G26" s="68">
        <v>1</v>
      </c>
      <c r="H26" s="69">
        <v>1</v>
      </c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>
        <v>1</v>
      </c>
      <c r="S26" s="69"/>
      <c r="T26" s="70"/>
      <c r="U26" s="67"/>
      <c r="V26" s="71"/>
      <c r="W26" s="68"/>
      <c r="X26" s="72"/>
      <c r="Y26" s="73"/>
      <c r="Z26" s="65"/>
      <c r="AA26" s="66">
        <v>1</v>
      </c>
      <c r="AB26" s="67"/>
      <c r="AC26" s="68"/>
      <c r="AD26" s="69">
        <v>1</v>
      </c>
      <c r="AE26" s="70"/>
      <c r="AF26" s="67"/>
      <c r="AG26" s="71"/>
      <c r="AH26" s="68"/>
      <c r="AI26" s="72"/>
      <c r="AJ26" s="73"/>
      <c r="AK26" s="65">
        <v>1</v>
      </c>
      <c r="AL26" s="66"/>
      <c r="AM26" s="67"/>
      <c r="AN26" s="68">
        <v>1</v>
      </c>
      <c r="AO26" s="69"/>
      <c r="AP26" s="70"/>
      <c r="AQ26" s="67"/>
      <c r="AR26" s="71"/>
      <c r="AS26" s="68"/>
      <c r="AT26" s="72"/>
      <c r="AU26" s="73"/>
      <c r="AV26" s="65"/>
      <c r="AW26" s="66"/>
      <c r="AX26" s="67">
        <v>1</v>
      </c>
      <c r="AY26" s="68"/>
      <c r="AZ26" s="69">
        <v>1</v>
      </c>
      <c r="BA26" s="70"/>
      <c r="BB26" s="67"/>
      <c r="BC26" s="71"/>
      <c r="BD26" s="68"/>
      <c r="BE26" s="72"/>
      <c r="BF26" s="73"/>
      <c r="BG26" s="65"/>
      <c r="BH26" s="66">
        <v>1</v>
      </c>
      <c r="BI26" s="67"/>
      <c r="BJ26" s="68"/>
      <c r="BK26" s="69">
        <v>1</v>
      </c>
      <c r="BL26" s="70"/>
      <c r="BM26" s="67"/>
      <c r="BN26" s="71"/>
      <c r="BO26" s="68"/>
      <c r="BP26" s="72"/>
      <c r="BQ26" s="73"/>
      <c r="BR26" s="65">
        <v>1</v>
      </c>
      <c r="BS26" s="66"/>
      <c r="BT26" s="67"/>
      <c r="BU26" s="68">
        <v>1</v>
      </c>
      <c r="BV26" s="69">
        <v>1</v>
      </c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/>
      <c r="E27" s="66">
        <v>1</v>
      </c>
      <c r="F27" s="67"/>
      <c r="G27" s="68">
        <v>1</v>
      </c>
      <c r="H27" s="69">
        <v>1</v>
      </c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>
        <v>1</v>
      </c>
      <c r="S27" s="69"/>
      <c r="T27" s="70"/>
      <c r="U27" s="67"/>
      <c r="V27" s="71"/>
      <c r="W27" s="68"/>
      <c r="X27" s="72"/>
      <c r="Y27" s="73"/>
      <c r="Z27" s="65"/>
      <c r="AA27" s="66">
        <v>1</v>
      </c>
      <c r="AB27" s="67"/>
      <c r="AC27" s="68"/>
      <c r="AD27" s="69">
        <v>1</v>
      </c>
      <c r="AE27" s="70"/>
      <c r="AF27" s="67"/>
      <c r="AG27" s="71"/>
      <c r="AH27" s="68"/>
      <c r="AI27" s="72"/>
      <c r="AJ27" s="73"/>
      <c r="AK27" s="65">
        <v>1</v>
      </c>
      <c r="AL27" s="66"/>
      <c r="AM27" s="67"/>
      <c r="AN27" s="68">
        <v>1</v>
      </c>
      <c r="AO27" s="69"/>
      <c r="AP27" s="70"/>
      <c r="AQ27" s="67"/>
      <c r="AR27" s="71"/>
      <c r="AS27" s="68"/>
      <c r="AT27" s="72"/>
      <c r="AU27" s="73"/>
      <c r="AV27" s="65"/>
      <c r="AW27" s="66"/>
      <c r="AX27" s="67">
        <v>1</v>
      </c>
      <c r="AY27" s="68"/>
      <c r="AZ27" s="69">
        <v>1</v>
      </c>
      <c r="BA27" s="70"/>
      <c r="BB27" s="67"/>
      <c r="BC27" s="71"/>
      <c r="BD27" s="68"/>
      <c r="BE27" s="72"/>
      <c r="BF27" s="73"/>
      <c r="BG27" s="65"/>
      <c r="BH27" s="66">
        <v>1</v>
      </c>
      <c r="BI27" s="67"/>
      <c r="BJ27" s="68"/>
      <c r="BK27" s="69">
        <v>1</v>
      </c>
      <c r="BL27" s="70"/>
      <c r="BM27" s="67"/>
      <c r="BN27" s="71"/>
      <c r="BO27" s="68"/>
      <c r="BP27" s="72"/>
      <c r="BQ27" s="73"/>
      <c r="BR27" s="65">
        <v>1</v>
      </c>
      <c r="BS27" s="66"/>
      <c r="BT27" s="67"/>
      <c r="BU27" s="68">
        <v>1</v>
      </c>
      <c r="BV27" s="69">
        <v>1</v>
      </c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/>
      <c r="E28" s="66"/>
      <c r="F28" s="67"/>
      <c r="G28" s="68">
        <v>1</v>
      </c>
      <c r="H28" s="69">
        <v>1</v>
      </c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>
        <v>1</v>
      </c>
      <c r="S28" s="69"/>
      <c r="T28" s="70"/>
      <c r="U28" s="67"/>
      <c r="V28" s="71"/>
      <c r="W28" s="68"/>
      <c r="X28" s="72"/>
      <c r="Y28" s="73"/>
      <c r="Z28" s="65"/>
      <c r="AA28" s="66">
        <v>0.5</v>
      </c>
      <c r="AB28" s="67"/>
      <c r="AC28" s="68"/>
      <c r="AD28" s="69">
        <v>1</v>
      </c>
      <c r="AE28" s="70"/>
      <c r="AF28" s="67"/>
      <c r="AG28" s="71"/>
      <c r="AH28" s="68"/>
      <c r="AI28" s="72"/>
      <c r="AJ28" s="73"/>
      <c r="AK28" s="65">
        <v>1</v>
      </c>
      <c r="AL28" s="66"/>
      <c r="AM28" s="67"/>
      <c r="AN28" s="68">
        <v>1</v>
      </c>
      <c r="AO28" s="69"/>
      <c r="AP28" s="70"/>
      <c r="AQ28" s="67"/>
      <c r="AR28" s="71"/>
      <c r="AS28" s="68"/>
      <c r="AT28" s="72"/>
      <c r="AU28" s="73"/>
      <c r="AV28" s="65"/>
      <c r="AW28" s="66"/>
      <c r="AX28" s="67">
        <v>1</v>
      </c>
      <c r="AY28" s="68"/>
      <c r="AZ28" s="69">
        <v>1</v>
      </c>
      <c r="BA28" s="70"/>
      <c r="BB28" s="67"/>
      <c r="BC28" s="71"/>
      <c r="BD28" s="68"/>
      <c r="BE28" s="72"/>
      <c r="BF28" s="73"/>
      <c r="BG28" s="65"/>
      <c r="BH28" s="66">
        <v>1</v>
      </c>
      <c r="BI28" s="67"/>
      <c r="BJ28" s="68"/>
      <c r="BK28" s="69">
        <v>1</v>
      </c>
      <c r="BL28" s="70"/>
      <c r="BM28" s="67"/>
      <c r="BN28" s="71"/>
      <c r="BO28" s="68"/>
      <c r="BP28" s="72"/>
      <c r="BQ28" s="73"/>
      <c r="BR28" s="65">
        <v>1</v>
      </c>
      <c r="BS28" s="66"/>
      <c r="BT28" s="67"/>
      <c r="BU28" s="68">
        <v>1</v>
      </c>
      <c r="BV28" s="69">
        <v>1</v>
      </c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16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17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18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19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20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21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22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ALONDRA</v>
      </c>
      <c r="E33" s="31" t="str">
        <f t="shared" si="0"/>
        <v>TRIANA</v>
      </c>
      <c r="F33" s="32" t="str">
        <f t="shared" si="0"/>
        <v>ALEJANDRO</v>
      </c>
      <c r="G33" s="33" t="str">
        <f t="shared" si="0"/>
        <v>LINDSAY</v>
      </c>
      <c r="H33" s="34" t="str">
        <f t="shared" si="0"/>
        <v>MILA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ALONDRA</v>
      </c>
      <c r="P33" s="31" t="str">
        <f t="shared" si="1"/>
        <v>TRIANA</v>
      </c>
      <c r="Q33" s="32" t="str">
        <f t="shared" si="1"/>
        <v>ALEJANDRO</v>
      </c>
      <c r="R33" s="33" t="str">
        <f t="shared" si="1"/>
        <v>LINDSAY</v>
      </c>
      <c r="S33" s="34" t="str">
        <f t="shared" si="1"/>
        <v>MILA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ALONDRA</v>
      </c>
      <c r="AA33" s="31" t="str">
        <f t="shared" si="2"/>
        <v>TRIANA</v>
      </c>
      <c r="AB33" s="32" t="str">
        <f t="shared" si="2"/>
        <v>ALEJANDRO</v>
      </c>
      <c r="AC33" s="33" t="str">
        <f t="shared" si="2"/>
        <v>LINDSAY</v>
      </c>
      <c r="AD33" s="34" t="str">
        <f t="shared" si="2"/>
        <v>MILA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ALONDRA</v>
      </c>
      <c r="AL33" s="31" t="str">
        <f t="shared" si="3"/>
        <v>TRIANA</v>
      </c>
      <c r="AM33" s="32" t="str">
        <f t="shared" si="3"/>
        <v>ALEJANDRO</v>
      </c>
      <c r="AN33" s="33" t="str">
        <f t="shared" si="3"/>
        <v>LINDSAY</v>
      </c>
      <c r="AO33" s="34" t="str">
        <f t="shared" si="3"/>
        <v>MILA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ALONDRA</v>
      </c>
      <c r="AW33" s="31" t="str">
        <f t="shared" si="4"/>
        <v>TRIANA</v>
      </c>
      <c r="AX33" s="32" t="str">
        <f t="shared" si="4"/>
        <v>ALEJANDRO</v>
      </c>
      <c r="AY33" s="33" t="str">
        <f t="shared" si="4"/>
        <v>LINDSAY</v>
      </c>
      <c r="AZ33" s="34" t="str">
        <f t="shared" si="4"/>
        <v>MILA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ALONDRA</v>
      </c>
      <c r="BH33" s="31" t="str">
        <f t="shared" si="5"/>
        <v>TRIANA</v>
      </c>
      <c r="BI33" s="32" t="str">
        <f t="shared" si="5"/>
        <v>ALEJANDRO</v>
      </c>
      <c r="BJ33" s="33" t="str">
        <f t="shared" si="5"/>
        <v>LINDSAY</v>
      </c>
      <c r="BK33" s="34" t="str">
        <f t="shared" si="5"/>
        <v>MILA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ALONDRA</v>
      </c>
      <c r="BS33" s="31" t="str">
        <f t="shared" si="6"/>
        <v>TRIANA</v>
      </c>
      <c r="BT33" s="32" t="str">
        <f t="shared" si="6"/>
        <v>ALEJANDRO</v>
      </c>
      <c r="BU33" s="33" t="str">
        <f t="shared" si="6"/>
        <v>LINDSAY</v>
      </c>
      <c r="BV33" s="34" t="str">
        <f t="shared" si="6"/>
        <v>MILA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4</v>
      </c>
      <c r="E34" s="48">
        <f t="shared" ref="E34:M34" si="7">SUM(E7:E30)</f>
        <v>4</v>
      </c>
      <c r="F34" s="49">
        <f t="shared" si="7"/>
        <v>1</v>
      </c>
      <c r="G34" s="50">
        <f t="shared" si="7"/>
        <v>8.5</v>
      </c>
      <c r="H34" s="51">
        <f t="shared" si="7"/>
        <v>11</v>
      </c>
      <c r="I34" s="52">
        <f t="shared" si="7"/>
        <v>0</v>
      </c>
      <c r="J34" s="49">
        <f t="shared" si="7"/>
        <v>0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0</v>
      </c>
      <c r="P34" s="48">
        <f t="shared" si="8"/>
        <v>0</v>
      </c>
      <c r="Q34" s="49">
        <f t="shared" si="8"/>
        <v>10.5</v>
      </c>
      <c r="R34" s="50">
        <f t="shared" si="8"/>
        <v>12</v>
      </c>
      <c r="S34" s="51">
        <f t="shared" si="8"/>
        <v>1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0</v>
      </c>
      <c r="AA34" s="48">
        <f t="shared" si="9"/>
        <v>7.5</v>
      </c>
      <c r="AB34" s="49">
        <f t="shared" si="9"/>
        <v>0</v>
      </c>
      <c r="AC34" s="50">
        <f t="shared" si="9"/>
        <v>1</v>
      </c>
      <c r="AD34" s="51">
        <f t="shared" si="9"/>
        <v>12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9</v>
      </c>
      <c r="AL34" s="48">
        <f t="shared" si="10"/>
        <v>0</v>
      </c>
      <c r="AM34" s="49">
        <f t="shared" si="10"/>
        <v>0</v>
      </c>
      <c r="AN34" s="50">
        <f t="shared" si="10"/>
        <v>10</v>
      </c>
      <c r="AO34" s="51">
        <f t="shared" si="10"/>
        <v>5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4.5</v>
      </c>
      <c r="AW34" s="48">
        <f t="shared" si="11"/>
        <v>0</v>
      </c>
      <c r="AX34" s="49">
        <f t="shared" si="11"/>
        <v>7</v>
      </c>
      <c r="AY34" s="50">
        <f t="shared" si="11"/>
        <v>6</v>
      </c>
      <c r="AZ34" s="51">
        <f t="shared" si="11"/>
        <v>6</v>
      </c>
      <c r="BA34" s="52">
        <f t="shared" si="11"/>
        <v>0</v>
      </c>
      <c r="BB34" s="49">
        <f t="shared" si="11"/>
        <v>0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0</v>
      </c>
      <c r="BH34" s="48">
        <f t="shared" si="12"/>
        <v>6</v>
      </c>
      <c r="BI34" s="49">
        <f t="shared" si="12"/>
        <v>5</v>
      </c>
      <c r="BJ34" s="50">
        <f t="shared" si="12"/>
        <v>5.5</v>
      </c>
      <c r="BK34" s="51">
        <f t="shared" si="12"/>
        <v>6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6</v>
      </c>
      <c r="BS34" s="48">
        <f t="shared" si="13"/>
        <v>6</v>
      </c>
      <c r="BT34" s="49">
        <f t="shared" si="13"/>
        <v>0</v>
      </c>
      <c r="BU34" s="50">
        <f t="shared" si="13"/>
        <v>5</v>
      </c>
      <c r="BV34" s="51">
        <f t="shared" si="13"/>
        <v>7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26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23.5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25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23.5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24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23.5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48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17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48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0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0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41:J41"/>
    <mergeCell ref="L41:N41"/>
    <mergeCell ref="B42:J42"/>
    <mergeCell ref="L42:N42"/>
    <mergeCell ref="B43:J43"/>
    <mergeCell ref="L43:N43"/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</mergeCells>
  <conditionalFormatting sqref="D7:M14 D29:M30">
    <cfRule type="expression" dxfId="342" priority="14">
      <formula>IF(OR(D7=0,D7=""),TRUE(),FALSE())</formula>
    </cfRule>
  </conditionalFormatting>
  <conditionalFormatting sqref="D15:M28">
    <cfRule type="expression" dxfId="341" priority="13">
      <formula>IF(OR(D15=0,D15=""),TRUE(),FALSE())</formula>
    </cfRule>
  </conditionalFormatting>
  <conditionalFormatting sqref="O7:X14 O29:X30">
    <cfRule type="expression" dxfId="340" priority="12">
      <formula>IF(OR(O7=0,O7=""),TRUE(),FALSE())</formula>
    </cfRule>
  </conditionalFormatting>
  <conditionalFormatting sqref="O15:X28">
    <cfRule type="expression" dxfId="339" priority="11">
      <formula>IF(OR(O15=0,O15=""),TRUE(),FALSE())</formula>
    </cfRule>
  </conditionalFormatting>
  <conditionalFormatting sqref="Z7:AI14 Z29:AI30">
    <cfRule type="expression" dxfId="338" priority="10">
      <formula>IF(OR(Z7=0,Z7=""),TRUE(),FALSE())</formula>
    </cfRule>
  </conditionalFormatting>
  <conditionalFormatting sqref="Z15:AI28">
    <cfRule type="expression" dxfId="337" priority="9">
      <formula>IF(OR(Z15=0,Z15=""),TRUE(),FALSE())</formula>
    </cfRule>
  </conditionalFormatting>
  <conditionalFormatting sqref="AK7:AT14 AK29:AT30">
    <cfRule type="expression" dxfId="336" priority="8">
      <formula>IF(OR(AK7=0,AK7=""),TRUE(),FALSE())</formula>
    </cfRule>
  </conditionalFormatting>
  <conditionalFormatting sqref="AK15:AT28">
    <cfRule type="expression" dxfId="335" priority="7">
      <formula>IF(OR(AK15=0,AK15=""),TRUE(),FALSE())</formula>
    </cfRule>
  </conditionalFormatting>
  <conditionalFormatting sqref="AV7:BE14 AV29:BE30">
    <cfRule type="expression" dxfId="334" priority="6">
      <formula>IF(OR(AV7=0,AV7=""),TRUE(),FALSE())</formula>
    </cfRule>
  </conditionalFormatting>
  <conditionalFormatting sqref="AV15:BE28">
    <cfRule type="expression" dxfId="333" priority="5">
      <formula>IF(OR(AV15=0,AV15=""),TRUE(),FALSE())</formula>
    </cfRule>
  </conditionalFormatting>
  <conditionalFormatting sqref="BG7:BP14 BG29:BP30">
    <cfRule type="expression" dxfId="332" priority="4">
      <formula>IF(OR(BG7=0,BG7=""),TRUE(),FALSE())</formula>
    </cfRule>
  </conditionalFormatting>
  <conditionalFormatting sqref="BG15:BP28">
    <cfRule type="expression" dxfId="331" priority="3">
      <formula>IF(OR(BG15=0,BG15=""),TRUE(),FALSE())</formula>
    </cfRule>
  </conditionalFormatting>
  <conditionalFormatting sqref="BR7:CA14 BR29:CA30">
    <cfRule type="expression" dxfId="330" priority="2">
      <formula>IF(OR(BR7=0,BR7=""),TRUE(),FALSE())</formula>
    </cfRule>
  </conditionalFormatting>
  <conditionalFormatting sqref="BR15:CA28">
    <cfRule type="expression" dxfId="329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F4BF3800-2988-4F44-9238-F42615545368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87952-EC86-48C7-9BB4-41A3CD234D55}">
  <sheetPr codeName="Hoja5"/>
  <dimension ref="A1:CA48"/>
  <sheetViews>
    <sheetView showGridLines="0" zoomScale="80" zoomScaleNormal="80" workbookViewId="0">
      <pane xSplit="3" ySplit="6" topLeftCell="P21" activePane="bottomRight" state="frozen"/>
      <selection pane="topRight" activeCell="D1" sqref="D1"/>
      <selection pane="bottomLeft" activeCell="A8" sqref="A8"/>
      <selection pane="bottomRight" activeCell="BY25" sqref="BY25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23 DE MARZO AL 29 DE MARZO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46104</v>
      </c>
      <c r="D5" s="63" t="str">
        <f>CONCATENATE("Lunes ",TEXT(DAY(C5),"00"))</f>
        <v>Lunes 23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24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25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26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27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28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29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27</v>
      </c>
      <c r="E6" s="9" t="s">
        <v>23</v>
      </c>
      <c r="F6" s="10" t="s">
        <v>16</v>
      </c>
      <c r="G6" s="11" t="s">
        <v>21</v>
      </c>
      <c r="H6" s="12" t="s">
        <v>13</v>
      </c>
      <c r="I6" s="13"/>
      <c r="J6" s="10"/>
      <c r="K6" s="14"/>
      <c r="L6" s="11"/>
      <c r="M6" s="15"/>
      <c r="O6" s="8" t="str">
        <f>D6</f>
        <v>ALONDRA</v>
      </c>
      <c r="P6" s="9" t="str">
        <f>E6</f>
        <v>TRIANA</v>
      </c>
      <c r="Q6" s="10" t="str">
        <f>F6</f>
        <v>ALEJANDRO</v>
      </c>
      <c r="R6" s="11" t="str">
        <f>G6</f>
        <v>LINDSAY</v>
      </c>
      <c r="S6" s="12" t="str">
        <f>H6</f>
        <v>MILA</v>
      </c>
      <c r="T6" s="13"/>
      <c r="U6" s="10"/>
      <c r="V6" s="14"/>
      <c r="W6" s="11"/>
      <c r="X6" s="15"/>
      <c r="Z6" s="8" t="str">
        <f>O6</f>
        <v>ALONDRA</v>
      </c>
      <c r="AA6" s="9" t="str">
        <f>P6</f>
        <v>TRIANA</v>
      </c>
      <c r="AB6" s="10" t="str">
        <f>Q6</f>
        <v>ALEJANDRO</v>
      </c>
      <c r="AC6" s="11" t="str">
        <f>R6</f>
        <v>LINDSAY</v>
      </c>
      <c r="AD6" s="12" t="str">
        <f>H6</f>
        <v>MILA</v>
      </c>
      <c r="AE6" s="13"/>
      <c r="AF6" s="10"/>
      <c r="AG6" s="14"/>
      <c r="AH6" s="11"/>
      <c r="AI6" s="15"/>
      <c r="AK6" s="8" t="str">
        <f>Z6</f>
        <v>ALONDRA</v>
      </c>
      <c r="AL6" s="9" t="str">
        <f>AA6</f>
        <v>TRIANA</v>
      </c>
      <c r="AM6" s="10" t="str">
        <f>AB6</f>
        <v>ALEJANDRO</v>
      </c>
      <c r="AN6" s="11" t="str">
        <f>AC6</f>
        <v>LINDSAY</v>
      </c>
      <c r="AO6" s="12" t="str">
        <f>H6</f>
        <v>MILA</v>
      </c>
      <c r="AP6" s="13"/>
      <c r="AQ6" s="10"/>
      <c r="AR6" s="14" t="s">
        <v>29</v>
      </c>
      <c r="AS6" s="11"/>
      <c r="AT6" s="15"/>
      <c r="AV6" s="8" t="str">
        <f>AK6</f>
        <v>ALONDRA</v>
      </c>
      <c r="AW6" s="9" t="str">
        <f>AL6</f>
        <v>TRIANA</v>
      </c>
      <c r="AX6" s="10" t="str">
        <f>AM6</f>
        <v>ALEJANDRO</v>
      </c>
      <c r="AY6" s="11" t="str">
        <f>AN6</f>
        <v>LINDSAY</v>
      </c>
      <c r="AZ6" s="12" t="str">
        <f>H6</f>
        <v>MILA</v>
      </c>
      <c r="BA6" s="13"/>
      <c r="BB6" s="10"/>
      <c r="BC6" s="14" t="s">
        <v>29</v>
      </c>
      <c r="BD6" s="11"/>
      <c r="BE6" s="15"/>
      <c r="BG6" s="8" t="str">
        <f>AV6</f>
        <v>ALONDRA</v>
      </c>
      <c r="BH6" s="9" t="str">
        <f>AW6</f>
        <v>TRIANA</v>
      </c>
      <c r="BI6" s="10" t="str">
        <f>AB6</f>
        <v>ALEJANDRO</v>
      </c>
      <c r="BJ6" s="11" t="str">
        <f>AC6</f>
        <v>LINDSAY</v>
      </c>
      <c r="BK6" s="12" t="str">
        <f>S6</f>
        <v>MILA</v>
      </c>
      <c r="BL6" s="13"/>
      <c r="BM6" s="10"/>
      <c r="BN6" s="14" t="s">
        <v>29</v>
      </c>
      <c r="BO6" s="11"/>
      <c r="BP6" s="15"/>
      <c r="BR6" s="8" t="str">
        <f>AV6</f>
        <v>ALONDRA</v>
      </c>
      <c r="BS6" s="9" t="str">
        <f>BH6</f>
        <v>TRIANA</v>
      </c>
      <c r="BT6" s="10" t="str">
        <f>AX6</f>
        <v>ALEJANDRO</v>
      </c>
      <c r="BU6" s="11" t="str">
        <f>BJ6</f>
        <v>LINDSAY</v>
      </c>
      <c r="BV6" s="12" t="s">
        <v>13</v>
      </c>
      <c r="BW6" s="13"/>
      <c r="BX6" s="10"/>
      <c r="BY6" s="14" t="s">
        <v>30</v>
      </c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/>
      <c r="BB14" s="18"/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/>
      <c r="H15" s="69"/>
      <c r="I15" s="70"/>
      <c r="J15" s="67"/>
      <c r="K15" s="71"/>
      <c r="L15" s="68"/>
      <c r="M15" s="72"/>
      <c r="N15" s="73"/>
      <c r="O15" s="65"/>
      <c r="P15" s="66"/>
      <c r="Q15" s="67"/>
      <c r="R15" s="68"/>
      <c r="S15" s="69"/>
      <c r="T15" s="70"/>
      <c r="U15" s="67"/>
      <c r="V15" s="71"/>
      <c r="W15" s="68"/>
      <c r="X15" s="72"/>
      <c r="Y15" s="73"/>
      <c r="Z15" s="65"/>
      <c r="AA15" s="66"/>
      <c r="AB15" s="67"/>
      <c r="AC15" s="68"/>
      <c r="AD15" s="69"/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/>
      <c r="BI15" s="67"/>
      <c r="BJ15" s="68"/>
      <c r="BK15" s="69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/>
      <c r="F16" s="67"/>
      <c r="G16" s="68"/>
      <c r="H16" s="69"/>
      <c r="I16" s="70"/>
      <c r="J16" s="67"/>
      <c r="K16" s="71"/>
      <c r="L16" s="68"/>
      <c r="M16" s="72"/>
      <c r="N16" s="73"/>
      <c r="O16" s="65"/>
      <c r="P16" s="66"/>
      <c r="Q16" s="67"/>
      <c r="R16" s="68"/>
      <c r="S16" s="69"/>
      <c r="T16" s="70"/>
      <c r="U16" s="67"/>
      <c r="V16" s="71"/>
      <c r="W16" s="68"/>
      <c r="X16" s="72"/>
      <c r="Y16" s="73"/>
      <c r="Z16" s="65"/>
      <c r="AA16" s="66"/>
      <c r="AB16" s="67"/>
      <c r="AC16" s="68"/>
      <c r="AD16" s="69"/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6"/>
      <c r="BI16" s="67"/>
      <c r="BJ16" s="68"/>
      <c r="BK16" s="69"/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/>
      <c r="F17" s="67">
        <v>1</v>
      </c>
      <c r="G17" s="68"/>
      <c r="H17" s="69">
        <v>1</v>
      </c>
      <c r="I17" s="70"/>
      <c r="J17" s="67"/>
      <c r="K17" s="71"/>
      <c r="L17" s="68"/>
      <c r="M17" s="72"/>
      <c r="N17" s="73"/>
      <c r="O17" s="65"/>
      <c r="P17" s="66"/>
      <c r="Q17" s="67">
        <v>1</v>
      </c>
      <c r="R17" s="68"/>
      <c r="S17" s="69"/>
      <c r="T17" s="70"/>
      <c r="U17" s="67"/>
      <c r="V17" s="71"/>
      <c r="W17" s="68"/>
      <c r="X17" s="72"/>
      <c r="Y17" s="73"/>
      <c r="Z17" s="65"/>
      <c r="AA17" s="66"/>
      <c r="AB17" s="67"/>
      <c r="AC17" s="68">
        <v>1</v>
      </c>
      <c r="AD17" s="69"/>
      <c r="AE17" s="70"/>
      <c r="AF17" s="67"/>
      <c r="AG17" s="71"/>
      <c r="AH17" s="68"/>
      <c r="AI17" s="72"/>
      <c r="AJ17" s="73"/>
      <c r="AK17" s="65"/>
      <c r="AL17" s="66"/>
      <c r="AM17" s="67"/>
      <c r="AN17" s="68"/>
      <c r="AO17" s="69">
        <v>1</v>
      </c>
      <c r="AP17" s="70"/>
      <c r="AQ17" s="67"/>
      <c r="AR17" s="71">
        <v>1</v>
      </c>
      <c r="AS17" s="68"/>
      <c r="AT17" s="72"/>
      <c r="AU17" s="73"/>
      <c r="AV17" s="65"/>
      <c r="AW17" s="66"/>
      <c r="AX17" s="67"/>
      <c r="AY17" s="68">
        <v>1</v>
      </c>
      <c r="AZ17" s="69"/>
      <c r="BA17" s="70"/>
      <c r="BB17" s="67"/>
      <c r="BC17" s="71">
        <v>1</v>
      </c>
      <c r="BD17" s="68"/>
      <c r="BE17" s="72"/>
      <c r="BF17" s="73"/>
      <c r="BG17" s="65"/>
      <c r="BH17" s="66"/>
      <c r="BI17" s="67"/>
      <c r="BJ17" s="68"/>
      <c r="BK17" s="69">
        <v>1</v>
      </c>
      <c r="BL17" s="70"/>
      <c r="BM17" s="67"/>
      <c r="BN17" s="71"/>
      <c r="BO17" s="68"/>
      <c r="BP17" s="72"/>
      <c r="BQ17" s="73"/>
      <c r="BR17" s="65"/>
      <c r="BS17" s="66">
        <v>1</v>
      </c>
      <c r="BT17" s="67"/>
      <c r="BU17" s="68">
        <v>1</v>
      </c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/>
      <c r="F18" s="67">
        <v>1</v>
      </c>
      <c r="G18" s="68"/>
      <c r="H18" s="69">
        <v>1</v>
      </c>
      <c r="I18" s="70"/>
      <c r="J18" s="67"/>
      <c r="K18" s="71"/>
      <c r="L18" s="68"/>
      <c r="M18" s="72"/>
      <c r="N18" s="73"/>
      <c r="O18" s="65"/>
      <c r="P18" s="66"/>
      <c r="Q18" s="67">
        <v>1</v>
      </c>
      <c r="R18" s="68"/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>
        <v>1</v>
      </c>
      <c r="AD18" s="69">
        <v>1</v>
      </c>
      <c r="AE18" s="70"/>
      <c r="AF18" s="67"/>
      <c r="AG18" s="71"/>
      <c r="AH18" s="68"/>
      <c r="AI18" s="72"/>
      <c r="AJ18" s="73"/>
      <c r="AK18" s="65"/>
      <c r="AL18" s="66"/>
      <c r="AM18" s="67"/>
      <c r="AN18" s="68"/>
      <c r="AO18" s="69">
        <v>1</v>
      </c>
      <c r="AP18" s="70"/>
      <c r="AQ18" s="67"/>
      <c r="AR18" s="71">
        <v>1</v>
      </c>
      <c r="AS18" s="68"/>
      <c r="AT18" s="72"/>
      <c r="AU18" s="73"/>
      <c r="AV18" s="65">
        <v>0.5</v>
      </c>
      <c r="AW18" s="66"/>
      <c r="AX18" s="67"/>
      <c r="AY18" s="68">
        <v>1</v>
      </c>
      <c r="AZ18" s="69"/>
      <c r="BA18" s="70"/>
      <c r="BB18" s="67"/>
      <c r="BC18" s="71">
        <v>1</v>
      </c>
      <c r="BD18" s="68"/>
      <c r="BE18" s="72"/>
      <c r="BF18" s="73"/>
      <c r="BG18" s="65"/>
      <c r="BH18" s="66"/>
      <c r="BI18" s="67"/>
      <c r="BJ18" s="68"/>
      <c r="BK18" s="69">
        <v>1</v>
      </c>
      <c r="BL18" s="70"/>
      <c r="BM18" s="67"/>
      <c r="BN18" s="71"/>
      <c r="BO18" s="68"/>
      <c r="BP18" s="72"/>
      <c r="BQ18" s="73"/>
      <c r="BR18" s="65"/>
      <c r="BS18" s="66">
        <v>1</v>
      </c>
      <c r="BT18" s="67"/>
      <c r="BU18" s="68">
        <v>1</v>
      </c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/>
      <c r="F19" s="67">
        <v>1</v>
      </c>
      <c r="G19" s="68"/>
      <c r="H19" s="69">
        <v>1</v>
      </c>
      <c r="I19" s="70"/>
      <c r="J19" s="67"/>
      <c r="K19" s="71"/>
      <c r="L19" s="68"/>
      <c r="M19" s="72"/>
      <c r="N19" s="73"/>
      <c r="O19" s="65"/>
      <c r="P19" s="66"/>
      <c r="Q19" s="67">
        <v>1</v>
      </c>
      <c r="R19" s="68">
        <v>1</v>
      </c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>
        <v>1</v>
      </c>
      <c r="AD19" s="69">
        <v>1</v>
      </c>
      <c r="AE19" s="70"/>
      <c r="AF19" s="67"/>
      <c r="AG19" s="71"/>
      <c r="AH19" s="68"/>
      <c r="AI19" s="72"/>
      <c r="AJ19" s="73"/>
      <c r="AK19" s="65"/>
      <c r="AL19" s="66"/>
      <c r="AM19" s="67"/>
      <c r="AN19" s="68">
        <v>1</v>
      </c>
      <c r="AO19" s="69">
        <v>1</v>
      </c>
      <c r="AP19" s="70"/>
      <c r="AQ19" s="67"/>
      <c r="AR19" s="71">
        <v>1</v>
      </c>
      <c r="AS19" s="68"/>
      <c r="AT19" s="72"/>
      <c r="AU19" s="73"/>
      <c r="AV19" s="65">
        <v>1</v>
      </c>
      <c r="AW19" s="66"/>
      <c r="AX19" s="67"/>
      <c r="AY19" s="68">
        <v>1</v>
      </c>
      <c r="AZ19" s="69"/>
      <c r="BA19" s="70"/>
      <c r="BB19" s="67"/>
      <c r="BC19" s="71">
        <v>1</v>
      </c>
      <c r="BD19" s="68"/>
      <c r="BE19" s="72"/>
      <c r="BF19" s="73"/>
      <c r="BG19" s="65"/>
      <c r="BH19" s="66"/>
      <c r="BI19" s="67"/>
      <c r="BJ19" s="68"/>
      <c r="BK19" s="69">
        <v>1</v>
      </c>
      <c r="BL19" s="70"/>
      <c r="BM19" s="67"/>
      <c r="BN19" s="71"/>
      <c r="BO19" s="68"/>
      <c r="BP19" s="72"/>
      <c r="BQ19" s="73"/>
      <c r="BR19" s="65"/>
      <c r="BS19" s="66">
        <v>1</v>
      </c>
      <c r="BT19" s="67"/>
      <c r="BU19" s="68">
        <v>1</v>
      </c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/>
      <c r="F20" s="67">
        <v>1</v>
      </c>
      <c r="G20" s="68"/>
      <c r="H20" s="69"/>
      <c r="I20" s="70"/>
      <c r="J20" s="67"/>
      <c r="K20" s="71"/>
      <c r="L20" s="68"/>
      <c r="M20" s="72"/>
      <c r="N20" s="74"/>
      <c r="O20" s="65">
        <v>1</v>
      </c>
      <c r="P20" s="66"/>
      <c r="Q20" s="67">
        <v>1</v>
      </c>
      <c r="R20" s="68"/>
      <c r="S20" s="69"/>
      <c r="T20" s="70"/>
      <c r="U20" s="67"/>
      <c r="V20" s="71"/>
      <c r="W20" s="68"/>
      <c r="X20" s="72"/>
      <c r="Y20" s="74"/>
      <c r="Z20" s="65"/>
      <c r="AA20" s="66"/>
      <c r="AB20" s="67"/>
      <c r="AC20" s="68"/>
      <c r="AD20" s="69">
        <v>1</v>
      </c>
      <c r="AE20" s="70"/>
      <c r="AF20" s="67"/>
      <c r="AG20" s="71"/>
      <c r="AH20" s="68"/>
      <c r="AI20" s="72"/>
      <c r="AJ20" s="74"/>
      <c r="AK20" s="65"/>
      <c r="AL20" s="66"/>
      <c r="AM20" s="67"/>
      <c r="AN20" s="68">
        <v>1</v>
      </c>
      <c r="AO20" s="69">
        <v>1</v>
      </c>
      <c r="AP20" s="70"/>
      <c r="AQ20" s="67"/>
      <c r="AR20" s="71">
        <v>1</v>
      </c>
      <c r="AS20" s="68"/>
      <c r="AT20" s="72"/>
      <c r="AU20" s="74"/>
      <c r="AV20" s="65">
        <v>1</v>
      </c>
      <c r="AW20" s="66"/>
      <c r="AX20" s="67"/>
      <c r="AY20" s="68"/>
      <c r="AZ20" s="69"/>
      <c r="BA20" s="70"/>
      <c r="BB20" s="67"/>
      <c r="BC20" s="71">
        <v>1</v>
      </c>
      <c r="BD20" s="68"/>
      <c r="BE20" s="72"/>
      <c r="BF20" s="74"/>
      <c r="BG20" s="65"/>
      <c r="BH20" s="66"/>
      <c r="BI20" s="67"/>
      <c r="BJ20" s="68">
        <v>1</v>
      </c>
      <c r="BK20" s="69">
        <v>1</v>
      </c>
      <c r="BL20" s="70"/>
      <c r="BM20" s="67"/>
      <c r="BN20" s="71"/>
      <c r="BO20" s="68"/>
      <c r="BP20" s="72"/>
      <c r="BQ20" s="74"/>
      <c r="BR20" s="65"/>
      <c r="BS20" s="66">
        <v>1</v>
      </c>
      <c r="BT20" s="67"/>
      <c r="BU20" s="68"/>
      <c r="BV20" s="69">
        <v>1</v>
      </c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/>
      <c r="F21" s="67"/>
      <c r="G21" s="68"/>
      <c r="H21" s="69">
        <v>1</v>
      </c>
      <c r="I21" s="70"/>
      <c r="J21" s="67"/>
      <c r="K21" s="71"/>
      <c r="L21" s="68"/>
      <c r="M21" s="72"/>
      <c r="N21" s="73"/>
      <c r="O21" s="65"/>
      <c r="P21" s="66"/>
      <c r="Q21" s="67"/>
      <c r="R21" s="68">
        <v>1</v>
      </c>
      <c r="S21" s="69"/>
      <c r="T21" s="70"/>
      <c r="U21" s="67"/>
      <c r="V21" s="71"/>
      <c r="W21" s="68"/>
      <c r="X21" s="72"/>
      <c r="Y21" s="73"/>
      <c r="Z21" s="65"/>
      <c r="AA21" s="66"/>
      <c r="AB21" s="67"/>
      <c r="AC21" s="68">
        <v>1</v>
      </c>
      <c r="AD21" s="69"/>
      <c r="AE21" s="70"/>
      <c r="AF21" s="67"/>
      <c r="AG21" s="71"/>
      <c r="AH21" s="68"/>
      <c r="AI21" s="72"/>
      <c r="AJ21" s="73"/>
      <c r="AK21" s="65"/>
      <c r="AL21" s="66"/>
      <c r="AM21" s="67"/>
      <c r="AN21" s="68">
        <v>1</v>
      </c>
      <c r="AO21" s="69"/>
      <c r="AP21" s="70"/>
      <c r="AQ21" s="67"/>
      <c r="AR21" s="71"/>
      <c r="AS21" s="68"/>
      <c r="AT21" s="72"/>
      <c r="AU21" s="73"/>
      <c r="AV21" s="65"/>
      <c r="AW21" s="66"/>
      <c r="AX21" s="67"/>
      <c r="AY21" s="68">
        <v>1</v>
      </c>
      <c r="AZ21" s="69"/>
      <c r="BA21" s="70"/>
      <c r="BB21" s="67"/>
      <c r="BC21" s="71"/>
      <c r="BD21" s="68"/>
      <c r="BE21" s="72"/>
      <c r="BF21" s="73"/>
      <c r="BG21" s="65"/>
      <c r="BH21" s="66"/>
      <c r="BI21" s="67">
        <v>0.5</v>
      </c>
      <c r="BJ21" s="68"/>
      <c r="BK21" s="69"/>
      <c r="BL21" s="70"/>
      <c r="BM21" s="67"/>
      <c r="BN21" s="71"/>
      <c r="BO21" s="68"/>
      <c r="BP21" s="72"/>
      <c r="BQ21" s="73"/>
      <c r="BR21" s="65"/>
      <c r="BS21" s="66">
        <v>1</v>
      </c>
      <c r="BT21" s="67"/>
      <c r="BU21" s="68">
        <v>1</v>
      </c>
      <c r="BV21" s="69"/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>
        <v>1</v>
      </c>
      <c r="G22" s="68"/>
      <c r="H22" s="69">
        <v>1</v>
      </c>
      <c r="I22" s="70"/>
      <c r="J22" s="67"/>
      <c r="K22" s="71"/>
      <c r="L22" s="68"/>
      <c r="M22" s="72"/>
      <c r="N22" s="73"/>
      <c r="O22" s="65">
        <v>1</v>
      </c>
      <c r="P22" s="66"/>
      <c r="Q22" s="67">
        <v>1</v>
      </c>
      <c r="R22" s="68">
        <v>1</v>
      </c>
      <c r="S22" s="69"/>
      <c r="T22" s="70"/>
      <c r="U22" s="67"/>
      <c r="V22" s="71"/>
      <c r="W22" s="68"/>
      <c r="X22" s="72"/>
      <c r="Y22" s="73"/>
      <c r="Z22" s="65"/>
      <c r="AA22" s="66"/>
      <c r="AB22" s="67"/>
      <c r="AC22" s="68">
        <v>1</v>
      </c>
      <c r="AD22" s="69">
        <v>1</v>
      </c>
      <c r="AE22" s="70"/>
      <c r="AF22" s="67"/>
      <c r="AG22" s="71"/>
      <c r="AH22" s="68"/>
      <c r="AI22" s="72"/>
      <c r="AJ22" s="73"/>
      <c r="AK22" s="65"/>
      <c r="AL22" s="66"/>
      <c r="AM22" s="67"/>
      <c r="AN22" s="68"/>
      <c r="AO22" s="69">
        <v>1</v>
      </c>
      <c r="AP22" s="70"/>
      <c r="AQ22" s="67"/>
      <c r="AR22" s="71"/>
      <c r="AS22" s="68"/>
      <c r="AT22" s="72"/>
      <c r="AU22" s="73"/>
      <c r="AV22" s="65">
        <v>1</v>
      </c>
      <c r="AW22" s="66"/>
      <c r="AX22" s="67"/>
      <c r="AY22" s="68">
        <v>1</v>
      </c>
      <c r="AZ22" s="69">
        <v>1</v>
      </c>
      <c r="BA22" s="70"/>
      <c r="BB22" s="67"/>
      <c r="BC22" s="71"/>
      <c r="BD22" s="68"/>
      <c r="BE22" s="72"/>
      <c r="BF22" s="73"/>
      <c r="BG22" s="65"/>
      <c r="BH22" s="66">
        <v>1</v>
      </c>
      <c r="BI22" s="67"/>
      <c r="BJ22" s="68">
        <v>1</v>
      </c>
      <c r="BK22" s="69">
        <v>1</v>
      </c>
      <c r="BL22" s="70"/>
      <c r="BM22" s="67"/>
      <c r="BN22" s="71"/>
      <c r="BO22" s="68"/>
      <c r="BP22" s="72"/>
      <c r="BQ22" s="73"/>
      <c r="BR22" s="65"/>
      <c r="BS22" s="66"/>
      <c r="BT22" s="67"/>
      <c r="BU22" s="68">
        <v>1</v>
      </c>
      <c r="BV22" s="69">
        <v>1</v>
      </c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/>
      <c r="E23" s="66">
        <v>1</v>
      </c>
      <c r="F23" s="67">
        <v>1</v>
      </c>
      <c r="G23" s="68"/>
      <c r="H23" s="69">
        <v>1</v>
      </c>
      <c r="I23" s="70"/>
      <c r="J23" s="67"/>
      <c r="K23" s="71"/>
      <c r="L23" s="68"/>
      <c r="M23" s="72"/>
      <c r="N23" s="73"/>
      <c r="O23" s="65">
        <v>1</v>
      </c>
      <c r="P23" s="66"/>
      <c r="Q23" s="67">
        <v>1</v>
      </c>
      <c r="R23" s="68">
        <v>1</v>
      </c>
      <c r="S23" s="69"/>
      <c r="T23" s="70"/>
      <c r="U23" s="67"/>
      <c r="V23" s="71"/>
      <c r="W23" s="68"/>
      <c r="X23" s="72"/>
      <c r="Y23" s="73"/>
      <c r="Z23" s="65"/>
      <c r="AA23" s="66">
        <v>1</v>
      </c>
      <c r="AB23" s="67"/>
      <c r="AC23" s="68"/>
      <c r="AD23" s="69">
        <v>1</v>
      </c>
      <c r="AE23" s="70"/>
      <c r="AF23" s="67"/>
      <c r="AG23" s="71"/>
      <c r="AH23" s="68"/>
      <c r="AI23" s="72"/>
      <c r="AJ23" s="73"/>
      <c r="AK23" s="65"/>
      <c r="AL23" s="66"/>
      <c r="AM23" s="67"/>
      <c r="AN23" s="68">
        <v>1</v>
      </c>
      <c r="AO23" s="69">
        <v>1</v>
      </c>
      <c r="AP23" s="70"/>
      <c r="AQ23" s="67"/>
      <c r="AR23" s="71"/>
      <c r="AS23" s="68"/>
      <c r="AT23" s="72"/>
      <c r="AU23" s="73"/>
      <c r="AV23" s="65">
        <v>1</v>
      </c>
      <c r="AW23" s="66"/>
      <c r="AX23" s="67"/>
      <c r="AY23" s="68">
        <v>1</v>
      </c>
      <c r="AZ23" s="69"/>
      <c r="BA23" s="70"/>
      <c r="BB23" s="67"/>
      <c r="BC23" s="71"/>
      <c r="BD23" s="68"/>
      <c r="BE23" s="72"/>
      <c r="BF23" s="73"/>
      <c r="BG23" s="65"/>
      <c r="BH23" s="66">
        <v>1</v>
      </c>
      <c r="BI23" s="67">
        <v>1</v>
      </c>
      <c r="BJ23" s="68">
        <v>1</v>
      </c>
      <c r="BK23" s="69">
        <v>1</v>
      </c>
      <c r="BL23" s="70"/>
      <c r="BM23" s="67"/>
      <c r="BN23" s="71"/>
      <c r="BO23" s="68"/>
      <c r="BP23" s="72"/>
      <c r="BQ23" s="73"/>
      <c r="BR23" s="65">
        <v>1</v>
      </c>
      <c r="BS23" s="66"/>
      <c r="BT23" s="67"/>
      <c r="BU23" s="68">
        <v>1</v>
      </c>
      <c r="BV23" s="69">
        <v>1</v>
      </c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/>
      <c r="E24" s="66">
        <v>1</v>
      </c>
      <c r="F24" s="67"/>
      <c r="G24" s="68"/>
      <c r="H24" s="69">
        <v>1</v>
      </c>
      <c r="I24" s="70"/>
      <c r="J24" s="67"/>
      <c r="K24" s="71"/>
      <c r="L24" s="68"/>
      <c r="M24" s="72"/>
      <c r="N24" s="73"/>
      <c r="O24" s="65">
        <v>1</v>
      </c>
      <c r="P24" s="66"/>
      <c r="Q24" s="67"/>
      <c r="R24" s="68">
        <v>1</v>
      </c>
      <c r="S24" s="69"/>
      <c r="T24" s="70"/>
      <c r="U24" s="67"/>
      <c r="V24" s="71"/>
      <c r="W24" s="68"/>
      <c r="X24" s="72"/>
      <c r="Y24" s="73"/>
      <c r="Z24" s="65"/>
      <c r="AA24" s="66">
        <v>1</v>
      </c>
      <c r="AB24" s="67"/>
      <c r="AC24" s="68"/>
      <c r="AD24" s="69">
        <v>1</v>
      </c>
      <c r="AE24" s="70"/>
      <c r="AF24" s="67"/>
      <c r="AG24" s="71"/>
      <c r="AH24" s="68"/>
      <c r="AI24" s="72"/>
      <c r="AJ24" s="73"/>
      <c r="AK24" s="65"/>
      <c r="AL24" s="66"/>
      <c r="AM24" s="67">
        <v>1</v>
      </c>
      <c r="AN24" s="68">
        <v>1</v>
      </c>
      <c r="AO24" s="69">
        <v>1</v>
      </c>
      <c r="AP24" s="70"/>
      <c r="AQ24" s="67"/>
      <c r="AR24" s="71"/>
      <c r="AS24" s="68"/>
      <c r="AT24" s="72"/>
      <c r="AU24" s="73"/>
      <c r="AV24" s="65">
        <v>1</v>
      </c>
      <c r="AW24" s="66"/>
      <c r="AX24" s="67"/>
      <c r="AY24" s="68"/>
      <c r="AZ24" s="69">
        <v>1</v>
      </c>
      <c r="BA24" s="70"/>
      <c r="BB24" s="67"/>
      <c r="BC24" s="71"/>
      <c r="BD24" s="68"/>
      <c r="BE24" s="72"/>
      <c r="BF24" s="73"/>
      <c r="BG24" s="65"/>
      <c r="BH24" s="66">
        <v>1</v>
      </c>
      <c r="BI24" s="67">
        <v>1</v>
      </c>
      <c r="BJ24" s="68">
        <v>1</v>
      </c>
      <c r="BK24" s="69"/>
      <c r="BL24" s="70"/>
      <c r="BM24" s="67"/>
      <c r="BN24" s="71"/>
      <c r="BO24" s="68"/>
      <c r="BP24" s="72"/>
      <c r="BQ24" s="73"/>
      <c r="BR24" s="65">
        <v>1</v>
      </c>
      <c r="BS24" s="66"/>
      <c r="BT24" s="67"/>
      <c r="BU24" s="68">
        <v>1</v>
      </c>
      <c r="BV24" s="69">
        <v>1</v>
      </c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/>
      <c r="E25" s="66">
        <v>1</v>
      </c>
      <c r="F25" s="67"/>
      <c r="G25" s="68"/>
      <c r="H25" s="69">
        <v>1</v>
      </c>
      <c r="I25" s="70"/>
      <c r="J25" s="67"/>
      <c r="K25" s="71"/>
      <c r="L25" s="68"/>
      <c r="M25" s="72"/>
      <c r="N25" s="73"/>
      <c r="O25" s="65">
        <v>1</v>
      </c>
      <c r="P25" s="66"/>
      <c r="Q25" s="67"/>
      <c r="R25" s="68">
        <v>1</v>
      </c>
      <c r="S25" s="69"/>
      <c r="T25" s="70"/>
      <c r="U25" s="67"/>
      <c r="V25" s="71"/>
      <c r="W25" s="68"/>
      <c r="X25" s="72"/>
      <c r="Y25" s="73"/>
      <c r="Z25" s="65"/>
      <c r="AA25" s="66">
        <v>1</v>
      </c>
      <c r="AB25" s="67"/>
      <c r="AC25" s="68"/>
      <c r="AD25" s="69">
        <v>1</v>
      </c>
      <c r="AE25" s="70"/>
      <c r="AF25" s="67"/>
      <c r="AG25" s="71"/>
      <c r="AH25" s="68"/>
      <c r="AI25" s="72"/>
      <c r="AJ25" s="73"/>
      <c r="AK25" s="65"/>
      <c r="AL25" s="66"/>
      <c r="AM25" s="67">
        <v>1</v>
      </c>
      <c r="AN25" s="68">
        <v>1</v>
      </c>
      <c r="AO25" s="69"/>
      <c r="AP25" s="70"/>
      <c r="AQ25" s="67"/>
      <c r="AR25" s="71"/>
      <c r="AS25" s="68"/>
      <c r="AT25" s="72"/>
      <c r="AU25" s="73"/>
      <c r="AV25" s="65">
        <v>1</v>
      </c>
      <c r="AW25" s="66"/>
      <c r="AX25" s="67"/>
      <c r="AY25" s="68"/>
      <c r="AZ25" s="69">
        <v>1</v>
      </c>
      <c r="BA25" s="70"/>
      <c r="BB25" s="67"/>
      <c r="BC25" s="71"/>
      <c r="BD25" s="68"/>
      <c r="BE25" s="72"/>
      <c r="BF25" s="73"/>
      <c r="BG25" s="65"/>
      <c r="BH25" s="66">
        <v>1</v>
      </c>
      <c r="BI25" s="67">
        <v>1</v>
      </c>
      <c r="BJ25" s="68">
        <v>1</v>
      </c>
      <c r="BK25" s="69"/>
      <c r="BL25" s="70"/>
      <c r="BM25" s="67"/>
      <c r="BN25" s="71">
        <v>1</v>
      </c>
      <c r="BO25" s="68"/>
      <c r="BP25" s="72"/>
      <c r="BQ25" s="73"/>
      <c r="BR25" s="65">
        <v>1</v>
      </c>
      <c r="BS25" s="66"/>
      <c r="BT25" s="67"/>
      <c r="BU25" s="68">
        <v>1</v>
      </c>
      <c r="BV25" s="69">
        <v>1</v>
      </c>
      <c r="BW25" s="70"/>
      <c r="BX25" s="67"/>
      <c r="BY25" s="71">
        <v>1</v>
      </c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/>
      <c r="E26" s="66">
        <v>1</v>
      </c>
      <c r="F26" s="67"/>
      <c r="G26" s="68"/>
      <c r="H26" s="69">
        <v>1</v>
      </c>
      <c r="I26" s="70"/>
      <c r="J26" s="67"/>
      <c r="K26" s="71"/>
      <c r="L26" s="68"/>
      <c r="M26" s="72"/>
      <c r="N26" s="73"/>
      <c r="O26" s="65">
        <v>1</v>
      </c>
      <c r="P26" s="66"/>
      <c r="Q26" s="67"/>
      <c r="R26" s="68">
        <v>1</v>
      </c>
      <c r="S26" s="69"/>
      <c r="T26" s="70"/>
      <c r="U26" s="67"/>
      <c r="V26" s="71"/>
      <c r="W26" s="68"/>
      <c r="X26" s="72"/>
      <c r="Y26" s="73"/>
      <c r="Z26" s="65"/>
      <c r="AA26" s="66">
        <v>1</v>
      </c>
      <c r="AB26" s="67"/>
      <c r="AC26" s="68"/>
      <c r="AD26" s="69">
        <v>1</v>
      </c>
      <c r="AE26" s="70"/>
      <c r="AF26" s="67"/>
      <c r="AG26" s="71"/>
      <c r="AH26" s="68"/>
      <c r="AI26" s="72"/>
      <c r="AJ26" s="73"/>
      <c r="AK26" s="65"/>
      <c r="AL26" s="66"/>
      <c r="AM26" s="67">
        <v>1</v>
      </c>
      <c r="AN26" s="68">
        <v>1</v>
      </c>
      <c r="AO26" s="69"/>
      <c r="AP26" s="70"/>
      <c r="AQ26" s="67"/>
      <c r="AR26" s="71"/>
      <c r="AS26" s="68"/>
      <c r="AT26" s="72"/>
      <c r="AU26" s="73"/>
      <c r="AV26" s="65">
        <v>1</v>
      </c>
      <c r="AW26" s="66"/>
      <c r="AX26" s="67"/>
      <c r="AY26" s="68"/>
      <c r="AZ26" s="69">
        <v>1</v>
      </c>
      <c r="BA26" s="70"/>
      <c r="BB26" s="67"/>
      <c r="BC26" s="71"/>
      <c r="BD26" s="68"/>
      <c r="BE26" s="72"/>
      <c r="BF26" s="73"/>
      <c r="BG26" s="65"/>
      <c r="BH26" s="66">
        <v>1</v>
      </c>
      <c r="BI26" s="67">
        <v>1</v>
      </c>
      <c r="BJ26" s="68">
        <v>1</v>
      </c>
      <c r="BK26" s="69"/>
      <c r="BL26" s="70"/>
      <c r="BM26" s="67"/>
      <c r="BN26" s="71">
        <v>1</v>
      </c>
      <c r="BO26" s="68"/>
      <c r="BP26" s="72"/>
      <c r="BQ26" s="73"/>
      <c r="BR26" s="65">
        <v>1</v>
      </c>
      <c r="BS26" s="66"/>
      <c r="BT26" s="67"/>
      <c r="BU26" s="68">
        <v>1</v>
      </c>
      <c r="BV26" s="69">
        <v>1</v>
      </c>
      <c r="BW26" s="70"/>
      <c r="BX26" s="67"/>
      <c r="BY26" s="71">
        <v>1</v>
      </c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/>
      <c r="E27" s="66">
        <v>1</v>
      </c>
      <c r="F27" s="67"/>
      <c r="G27" s="68"/>
      <c r="H27" s="69">
        <v>1</v>
      </c>
      <c r="I27" s="70"/>
      <c r="J27" s="67"/>
      <c r="K27" s="71"/>
      <c r="L27" s="68"/>
      <c r="M27" s="72"/>
      <c r="N27" s="73"/>
      <c r="O27" s="65">
        <v>1</v>
      </c>
      <c r="P27" s="66"/>
      <c r="Q27" s="67"/>
      <c r="R27" s="68">
        <v>1</v>
      </c>
      <c r="S27" s="69"/>
      <c r="T27" s="70"/>
      <c r="U27" s="67"/>
      <c r="V27" s="71"/>
      <c r="W27" s="68"/>
      <c r="X27" s="72"/>
      <c r="Y27" s="73"/>
      <c r="Z27" s="65"/>
      <c r="AA27" s="66">
        <v>1</v>
      </c>
      <c r="AB27" s="67"/>
      <c r="AC27" s="68"/>
      <c r="AD27" s="69">
        <v>1</v>
      </c>
      <c r="AE27" s="70"/>
      <c r="AF27" s="67"/>
      <c r="AG27" s="71"/>
      <c r="AH27" s="68"/>
      <c r="AI27" s="72"/>
      <c r="AJ27" s="73"/>
      <c r="AK27" s="65"/>
      <c r="AL27" s="66"/>
      <c r="AM27" s="67">
        <v>1</v>
      </c>
      <c r="AN27" s="68">
        <v>1</v>
      </c>
      <c r="AO27" s="69"/>
      <c r="AP27" s="70"/>
      <c r="AQ27" s="67"/>
      <c r="AR27" s="71"/>
      <c r="AS27" s="68"/>
      <c r="AT27" s="72"/>
      <c r="AU27" s="73"/>
      <c r="AV27" s="65">
        <v>1</v>
      </c>
      <c r="AW27" s="66"/>
      <c r="AX27" s="67"/>
      <c r="AY27" s="68"/>
      <c r="AZ27" s="69">
        <v>1</v>
      </c>
      <c r="BA27" s="70"/>
      <c r="BB27" s="67"/>
      <c r="BC27" s="71"/>
      <c r="BD27" s="68"/>
      <c r="BE27" s="72"/>
      <c r="BF27" s="73"/>
      <c r="BG27" s="65"/>
      <c r="BH27" s="66">
        <v>1</v>
      </c>
      <c r="BI27" s="67">
        <v>1</v>
      </c>
      <c r="BJ27" s="68">
        <v>1</v>
      </c>
      <c r="BK27" s="69"/>
      <c r="BL27" s="70"/>
      <c r="BM27" s="67"/>
      <c r="BN27" s="71">
        <v>1</v>
      </c>
      <c r="BO27" s="68"/>
      <c r="BP27" s="72"/>
      <c r="BQ27" s="73"/>
      <c r="BR27" s="65">
        <v>1</v>
      </c>
      <c r="BS27" s="66"/>
      <c r="BT27" s="67"/>
      <c r="BU27" s="68">
        <v>1</v>
      </c>
      <c r="BV27" s="69">
        <v>1</v>
      </c>
      <c r="BW27" s="70"/>
      <c r="BX27" s="67"/>
      <c r="BY27" s="71">
        <v>1</v>
      </c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/>
      <c r="E28" s="66">
        <v>1</v>
      </c>
      <c r="F28" s="67"/>
      <c r="G28" s="68"/>
      <c r="H28" s="69">
        <v>1</v>
      </c>
      <c r="I28" s="70"/>
      <c r="J28" s="67"/>
      <c r="K28" s="71"/>
      <c r="L28" s="68"/>
      <c r="M28" s="72"/>
      <c r="N28" s="73"/>
      <c r="O28" s="65">
        <v>1</v>
      </c>
      <c r="P28" s="66"/>
      <c r="Q28" s="67"/>
      <c r="R28" s="68">
        <v>1</v>
      </c>
      <c r="S28" s="69"/>
      <c r="T28" s="70"/>
      <c r="U28" s="67"/>
      <c r="V28" s="71"/>
      <c r="W28" s="68"/>
      <c r="X28" s="72"/>
      <c r="Y28" s="73"/>
      <c r="Z28" s="65"/>
      <c r="AA28" s="66">
        <v>1</v>
      </c>
      <c r="AB28" s="67"/>
      <c r="AC28" s="68"/>
      <c r="AD28" s="69">
        <v>1</v>
      </c>
      <c r="AE28" s="70"/>
      <c r="AF28" s="67"/>
      <c r="AG28" s="71"/>
      <c r="AH28" s="68"/>
      <c r="AI28" s="72"/>
      <c r="AJ28" s="73"/>
      <c r="AK28" s="65"/>
      <c r="AL28" s="66"/>
      <c r="AM28" s="67">
        <v>1</v>
      </c>
      <c r="AN28" s="68">
        <v>1</v>
      </c>
      <c r="AO28" s="69"/>
      <c r="AP28" s="70"/>
      <c r="AQ28" s="67"/>
      <c r="AR28" s="71"/>
      <c r="AS28" s="68"/>
      <c r="AT28" s="72"/>
      <c r="AU28" s="73"/>
      <c r="AV28" s="65">
        <v>1</v>
      </c>
      <c r="AW28" s="66"/>
      <c r="AX28" s="67"/>
      <c r="AY28" s="68"/>
      <c r="AZ28" s="69">
        <v>1</v>
      </c>
      <c r="BA28" s="70"/>
      <c r="BB28" s="67"/>
      <c r="BC28" s="71"/>
      <c r="BD28" s="68"/>
      <c r="BE28" s="72"/>
      <c r="BF28" s="73"/>
      <c r="BG28" s="65"/>
      <c r="BH28" s="66">
        <v>0.5</v>
      </c>
      <c r="BI28" s="67">
        <v>1</v>
      </c>
      <c r="BJ28" s="68">
        <v>1</v>
      </c>
      <c r="BK28" s="69"/>
      <c r="BL28" s="70"/>
      <c r="BM28" s="67"/>
      <c r="BN28" s="71">
        <v>1</v>
      </c>
      <c r="BO28" s="68"/>
      <c r="BP28" s="72"/>
      <c r="BQ28" s="73"/>
      <c r="BR28" s="65">
        <v>1</v>
      </c>
      <c r="BS28" s="66"/>
      <c r="BT28" s="67"/>
      <c r="BU28" s="68">
        <v>1</v>
      </c>
      <c r="BV28" s="69">
        <v>1</v>
      </c>
      <c r="BW28" s="70"/>
      <c r="BX28" s="67"/>
      <c r="BY28" s="71">
        <v>1</v>
      </c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23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24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25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26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27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28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29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ALONDRA</v>
      </c>
      <c r="E33" s="31" t="str">
        <f t="shared" si="0"/>
        <v>TRIANA</v>
      </c>
      <c r="F33" s="32" t="str">
        <f t="shared" si="0"/>
        <v>ALEJANDRO</v>
      </c>
      <c r="G33" s="33" t="str">
        <f t="shared" si="0"/>
        <v>LINDSAY</v>
      </c>
      <c r="H33" s="34" t="str">
        <f t="shared" si="0"/>
        <v>MILA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ALONDRA</v>
      </c>
      <c r="P33" s="31" t="str">
        <f t="shared" si="1"/>
        <v>TRIANA</v>
      </c>
      <c r="Q33" s="32" t="str">
        <f t="shared" si="1"/>
        <v>ALEJANDRO</v>
      </c>
      <c r="R33" s="33" t="str">
        <f t="shared" si="1"/>
        <v>LINDSAY</v>
      </c>
      <c r="S33" s="34" t="str">
        <f t="shared" si="1"/>
        <v>MILA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ALONDRA</v>
      </c>
      <c r="AA33" s="31" t="str">
        <f t="shared" si="2"/>
        <v>TRIANA</v>
      </c>
      <c r="AB33" s="32" t="str">
        <f t="shared" si="2"/>
        <v>ALEJANDRO</v>
      </c>
      <c r="AC33" s="33" t="str">
        <f t="shared" si="2"/>
        <v>LINDSAY</v>
      </c>
      <c r="AD33" s="34" t="str">
        <f t="shared" si="2"/>
        <v>MILA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ALONDRA</v>
      </c>
      <c r="AL33" s="31" t="str">
        <f t="shared" si="3"/>
        <v>TRIANA</v>
      </c>
      <c r="AM33" s="32" t="str">
        <f t="shared" si="3"/>
        <v>ALEJANDRO</v>
      </c>
      <c r="AN33" s="33" t="str">
        <f t="shared" si="3"/>
        <v>LINDSAY</v>
      </c>
      <c r="AO33" s="34" t="str">
        <f t="shared" si="3"/>
        <v>MILA</v>
      </c>
      <c r="AP33" s="35">
        <f t="shared" si="3"/>
        <v>0</v>
      </c>
      <c r="AQ33" s="32">
        <f t="shared" si="3"/>
        <v>0</v>
      </c>
      <c r="AR33" s="36" t="str">
        <f t="shared" si="3"/>
        <v>BIANCA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ALONDRA</v>
      </c>
      <c r="AW33" s="31" t="str">
        <f t="shared" si="4"/>
        <v>TRIANA</v>
      </c>
      <c r="AX33" s="32" t="str">
        <f t="shared" si="4"/>
        <v>ALEJANDRO</v>
      </c>
      <c r="AY33" s="33" t="str">
        <f t="shared" si="4"/>
        <v>LINDSAY</v>
      </c>
      <c r="AZ33" s="34" t="str">
        <f t="shared" si="4"/>
        <v>MILA</v>
      </c>
      <c r="BA33" s="35">
        <f t="shared" si="4"/>
        <v>0</v>
      </c>
      <c r="BB33" s="32">
        <f t="shared" si="4"/>
        <v>0</v>
      </c>
      <c r="BC33" s="36" t="str">
        <f t="shared" si="4"/>
        <v>BIANCA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ALONDRA</v>
      </c>
      <c r="BH33" s="31" t="str">
        <f t="shared" si="5"/>
        <v>TRIANA</v>
      </c>
      <c r="BI33" s="32" t="str">
        <f t="shared" si="5"/>
        <v>ALEJANDRO</v>
      </c>
      <c r="BJ33" s="33" t="str">
        <f t="shared" si="5"/>
        <v>LINDSAY</v>
      </c>
      <c r="BK33" s="34" t="str">
        <f t="shared" si="5"/>
        <v>MILA</v>
      </c>
      <c r="BL33" s="35">
        <f t="shared" si="5"/>
        <v>0</v>
      </c>
      <c r="BM33" s="32">
        <f t="shared" si="5"/>
        <v>0</v>
      </c>
      <c r="BN33" s="36" t="str">
        <f t="shared" si="5"/>
        <v>BIANCA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ALONDRA</v>
      </c>
      <c r="BS33" s="31" t="str">
        <f t="shared" si="6"/>
        <v>TRIANA</v>
      </c>
      <c r="BT33" s="32" t="str">
        <f t="shared" si="6"/>
        <v>ALEJANDRO</v>
      </c>
      <c r="BU33" s="33" t="str">
        <f t="shared" si="6"/>
        <v>LINDSAY</v>
      </c>
      <c r="BV33" s="34" t="str">
        <f t="shared" si="6"/>
        <v>MILA</v>
      </c>
      <c r="BW33" s="35">
        <f t="shared" si="6"/>
        <v>0</v>
      </c>
      <c r="BX33" s="32">
        <f t="shared" si="6"/>
        <v>0</v>
      </c>
      <c r="BY33" s="36" t="str">
        <f t="shared" si="6"/>
        <v>BIANACA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0</v>
      </c>
      <c r="E34" s="48">
        <f t="shared" ref="E34:M34" si="7">SUM(E7:E30)</f>
        <v>6</v>
      </c>
      <c r="F34" s="49">
        <f t="shared" si="7"/>
        <v>6</v>
      </c>
      <c r="G34" s="50">
        <f t="shared" si="7"/>
        <v>0</v>
      </c>
      <c r="H34" s="51">
        <f t="shared" si="7"/>
        <v>11</v>
      </c>
      <c r="I34" s="52">
        <f t="shared" si="7"/>
        <v>0</v>
      </c>
      <c r="J34" s="49">
        <f t="shared" si="7"/>
        <v>0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8</v>
      </c>
      <c r="P34" s="48">
        <f t="shared" si="8"/>
        <v>0</v>
      </c>
      <c r="Q34" s="49">
        <f t="shared" si="8"/>
        <v>6</v>
      </c>
      <c r="R34" s="50">
        <f t="shared" si="8"/>
        <v>9</v>
      </c>
      <c r="S34" s="51">
        <f t="shared" si="8"/>
        <v>0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0</v>
      </c>
      <c r="AA34" s="48">
        <f t="shared" si="9"/>
        <v>6</v>
      </c>
      <c r="AB34" s="49">
        <f t="shared" si="9"/>
        <v>0</v>
      </c>
      <c r="AC34" s="50">
        <f t="shared" si="9"/>
        <v>5</v>
      </c>
      <c r="AD34" s="51">
        <f t="shared" si="9"/>
        <v>10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0</v>
      </c>
      <c r="AL34" s="48">
        <f t="shared" si="10"/>
        <v>0</v>
      </c>
      <c r="AM34" s="49">
        <f t="shared" si="10"/>
        <v>5</v>
      </c>
      <c r="AN34" s="50">
        <f t="shared" si="10"/>
        <v>9</v>
      </c>
      <c r="AO34" s="51">
        <f t="shared" si="10"/>
        <v>7</v>
      </c>
      <c r="AP34" s="52">
        <f t="shared" si="10"/>
        <v>0</v>
      </c>
      <c r="AQ34" s="49">
        <f t="shared" si="10"/>
        <v>0</v>
      </c>
      <c r="AR34" s="53">
        <f t="shared" si="10"/>
        <v>4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9.5</v>
      </c>
      <c r="AW34" s="48">
        <f t="shared" si="11"/>
        <v>0</v>
      </c>
      <c r="AX34" s="49">
        <f t="shared" si="11"/>
        <v>0</v>
      </c>
      <c r="AY34" s="50">
        <f t="shared" si="11"/>
        <v>6</v>
      </c>
      <c r="AZ34" s="51">
        <f t="shared" si="11"/>
        <v>6</v>
      </c>
      <c r="BA34" s="52">
        <f t="shared" si="11"/>
        <v>0</v>
      </c>
      <c r="BB34" s="49">
        <f t="shared" si="11"/>
        <v>0</v>
      </c>
      <c r="BC34" s="53">
        <f t="shared" si="11"/>
        <v>4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0</v>
      </c>
      <c r="BH34" s="48">
        <f t="shared" si="12"/>
        <v>6.5</v>
      </c>
      <c r="BI34" s="49">
        <f t="shared" si="12"/>
        <v>6.5</v>
      </c>
      <c r="BJ34" s="50">
        <f t="shared" si="12"/>
        <v>8</v>
      </c>
      <c r="BK34" s="51">
        <f t="shared" si="12"/>
        <v>6</v>
      </c>
      <c r="BL34" s="52">
        <f t="shared" si="12"/>
        <v>0</v>
      </c>
      <c r="BM34" s="49">
        <f t="shared" si="12"/>
        <v>0</v>
      </c>
      <c r="BN34" s="53">
        <f t="shared" si="12"/>
        <v>4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6</v>
      </c>
      <c r="BS34" s="48">
        <f t="shared" si="13"/>
        <v>5</v>
      </c>
      <c r="BT34" s="49">
        <f t="shared" si="13"/>
        <v>0</v>
      </c>
      <c r="BU34" s="50">
        <f t="shared" si="13"/>
        <v>11</v>
      </c>
      <c r="BV34" s="51">
        <f t="shared" si="13"/>
        <v>8</v>
      </c>
      <c r="BW34" s="52">
        <f t="shared" si="13"/>
        <v>0</v>
      </c>
      <c r="BX34" s="49">
        <f t="shared" si="13"/>
        <v>0</v>
      </c>
      <c r="BY34" s="53">
        <f t="shared" si="13"/>
        <v>4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26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23.5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25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23.5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24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23.5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48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17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48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0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0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16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 t="s">
        <v>28</v>
      </c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  <mergeCell ref="B41:J41"/>
    <mergeCell ref="L41:N41"/>
    <mergeCell ref="B42:J42"/>
    <mergeCell ref="L42:N42"/>
    <mergeCell ref="B43:J43"/>
    <mergeCell ref="L43:N43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</mergeCells>
  <conditionalFormatting sqref="D7:M14 D29:M30">
    <cfRule type="expression" dxfId="328" priority="14">
      <formula>IF(OR(D7=0,D7=""),TRUE(),FALSE())</formula>
    </cfRule>
  </conditionalFormatting>
  <conditionalFormatting sqref="D15:M28">
    <cfRule type="expression" dxfId="327" priority="13">
      <formula>IF(OR(D15=0,D15=""),TRUE(),FALSE())</formula>
    </cfRule>
  </conditionalFormatting>
  <conditionalFormatting sqref="O7:X14 O29:X30">
    <cfRule type="expression" dxfId="326" priority="12">
      <formula>IF(OR(O7=0,O7=""),TRUE(),FALSE())</formula>
    </cfRule>
  </conditionalFormatting>
  <conditionalFormatting sqref="O15:X28">
    <cfRule type="expression" dxfId="325" priority="11">
      <formula>IF(OR(O15=0,O15=""),TRUE(),FALSE())</formula>
    </cfRule>
  </conditionalFormatting>
  <conditionalFormatting sqref="Z7:AI14 Z29:AI30">
    <cfRule type="expression" dxfId="324" priority="10">
      <formula>IF(OR(Z7=0,Z7=""),TRUE(),FALSE())</formula>
    </cfRule>
  </conditionalFormatting>
  <conditionalFormatting sqref="Z15:AI28">
    <cfRule type="expression" dxfId="323" priority="9">
      <formula>IF(OR(Z15=0,Z15=""),TRUE(),FALSE())</formula>
    </cfRule>
  </conditionalFormatting>
  <conditionalFormatting sqref="AK7:AT14 AK29:AT30">
    <cfRule type="expression" dxfId="322" priority="8">
      <formula>IF(OR(AK7=0,AK7=""),TRUE(),FALSE())</formula>
    </cfRule>
  </conditionalFormatting>
  <conditionalFormatting sqref="AK15:AT28">
    <cfRule type="expression" dxfId="321" priority="7">
      <formula>IF(OR(AK15=0,AK15=""),TRUE(),FALSE())</formula>
    </cfRule>
  </conditionalFormatting>
  <conditionalFormatting sqref="AV7:BE14 AV29:BE30">
    <cfRule type="expression" dxfId="320" priority="6">
      <formula>IF(OR(AV7=0,AV7=""),TRUE(),FALSE())</formula>
    </cfRule>
  </conditionalFormatting>
  <conditionalFormatting sqref="AV15:BE28">
    <cfRule type="expression" dxfId="319" priority="5">
      <formula>IF(OR(AV15=0,AV15=""),TRUE(),FALSE())</formula>
    </cfRule>
  </conditionalFormatting>
  <conditionalFormatting sqref="BG7:BP14 BG29:BP30">
    <cfRule type="expression" dxfId="318" priority="4">
      <formula>IF(OR(BG7=0,BG7=""),TRUE(),FALSE())</formula>
    </cfRule>
  </conditionalFormatting>
  <conditionalFormatting sqref="BG15:BP28">
    <cfRule type="expression" dxfId="317" priority="3">
      <formula>IF(OR(BG15=0,BG15=""),TRUE(),FALSE())</formula>
    </cfRule>
  </conditionalFormatting>
  <conditionalFormatting sqref="BR7:CA14 BR29:CA30">
    <cfRule type="expression" dxfId="316" priority="2">
      <formula>IF(OR(BR7=0,BR7=""),TRUE(),FALSE())</formula>
    </cfRule>
  </conditionalFormatting>
  <conditionalFormatting sqref="BR15:CA28">
    <cfRule type="expression" dxfId="315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3E01CD26-0E12-4A7F-B895-00FD31ADABFA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EE35-3836-489E-9E42-96184BDEFCBA}">
  <sheetPr codeName="Hoja7"/>
  <dimension ref="A1:CA48"/>
  <sheetViews>
    <sheetView showGridLines="0" zoomScale="80" zoomScaleNormal="80" workbookViewId="0">
      <pane xSplit="3" ySplit="6" topLeftCell="D16" activePane="bottomRight" state="frozen"/>
      <selection pane="topRight" activeCell="D1" sqref="D1"/>
      <selection pane="bottomLeft" activeCell="A8" sqref="A8"/>
      <selection pane="bottomRight" activeCell="R17" sqref="R17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30 DE MARZO AL 05 DE ABRIL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46111</v>
      </c>
      <c r="D5" s="63" t="str">
        <f>CONCATENATE("Lunes ",TEXT(DAY(C5),"00"))</f>
        <v>Lunes 30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31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01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02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03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04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05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/>
      <c r="E6" s="9"/>
      <c r="F6" s="10" t="s">
        <v>16</v>
      </c>
      <c r="G6" s="11" t="s">
        <v>21</v>
      </c>
      <c r="H6" s="12" t="s">
        <v>13</v>
      </c>
      <c r="I6" s="13"/>
      <c r="J6" s="10"/>
      <c r="K6" s="14"/>
      <c r="L6" s="11"/>
      <c r="M6" s="15"/>
      <c r="O6" s="8">
        <f>D6</f>
        <v>0</v>
      </c>
      <c r="P6" s="9">
        <f>E6</f>
        <v>0</v>
      </c>
      <c r="Q6" s="10" t="s">
        <v>16</v>
      </c>
      <c r="R6" s="11" t="str">
        <f>G6</f>
        <v>LINDSAY</v>
      </c>
      <c r="S6" s="12" t="str">
        <f>H6</f>
        <v>MILA</v>
      </c>
      <c r="T6" s="13"/>
      <c r="U6" s="10"/>
      <c r="V6" s="14"/>
      <c r="W6" s="11"/>
      <c r="X6" s="15"/>
      <c r="Z6" s="8" t="s">
        <v>31</v>
      </c>
      <c r="AA6" s="9" t="s">
        <v>33</v>
      </c>
      <c r="AB6" s="10"/>
      <c r="AC6" s="11" t="str">
        <f>R6</f>
        <v>LINDSAY</v>
      </c>
      <c r="AD6" s="12" t="str">
        <f>H6</f>
        <v>MILA</v>
      </c>
      <c r="AE6" s="13"/>
      <c r="AF6" s="10"/>
      <c r="AG6" s="14"/>
      <c r="AH6" s="11"/>
      <c r="AI6" s="15"/>
      <c r="AK6" s="8" t="str">
        <f>Z6</f>
        <v>MICHAEL</v>
      </c>
      <c r="AL6" s="9" t="str">
        <f>AA6</f>
        <v>ANAHY</v>
      </c>
      <c r="AM6" s="10"/>
      <c r="AN6" s="11" t="str">
        <f>AC6</f>
        <v>LINDSAY</v>
      </c>
      <c r="AO6" s="12" t="str">
        <f>H6</f>
        <v>MILA</v>
      </c>
      <c r="AP6" s="13"/>
      <c r="AQ6" s="10"/>
      <c r="AR6" s="14"/>
      <c r="AS6" s="11"/>
      <c r="AT6" s="15"/>
      <c r="AV6" s="8" t="str">
        <f>AK6</f>
        <v>MICHAEL</v>
      </c>
      <c r="AW6" s="9" t="s">
        <v>33</v>
      </c>
      <c r="AX6" s="10"/>
      <c r="AY6" s="11" t="str">
        <f>AN6</f>
        <v>LINDSAY</v>
      </c>
      <c r="AZ6" s="12" t="str">
        <f>H6</f>
        <v>MILA</v>
      </c>
      <c r="BA6" s="13"/>
      <c r="BB6" s="10"/>
      <c r="BC6" s="14"/>
      <c r="BD6" s="11"/>
      <c r="BE6" s="15"/>
      <c r="BG6" s="8" t="str">
        <f>AV6</f>
        <v>MICHAEL</v>
      </c>
      <c r="BH6" s="9" t="s">
        <v>33</v>
      </c>
      <c r="BI6" s="10" t="s">
        <v>34</v>
      </c>
      <c r="BJ6" s="11" t="str">
        <f>AC6</f>
        <v>LINDSAY</v>
      </c>
      <c r="BK6" s="12" t="str">
        <f>S6</f>
        <v>MILA</v>
      </c>
      <c r="BL6" s="13"/>
      <c r="BM6" s="10"/>
      <c r="BN6" s="14"/>
      <c r="BO6" s="11"/>
      <c r="BP6" s="15"/>
      <c r="BR6" s="8" t="str">
        <f>AV6</f>
        <v>MICHAEL</v>
      </c>
      <c r="BS6" s="9" t="str">
        <f>BH6</f>
        <v>ANAHY</v>
      </c>
      <c r="BT6" s="10" t="s">
        <v>34</v>
      </c>
      <c r="BU6" s="11" t="str">
        <f>BJ6</f>
        <v>LINDSAY</v>
      </c>
      <c r="BV6" s="12" t="s">
        <v>13</v>
      </c>
      <c r="BW6" s="13"/>
      <c r="BX6" s="10"/>
      <c r="BY6" s="14" t="s">
        <v>30</v>
      </c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/>
      <c r="BB14" s="18"/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/>
      <c r="H15" s="69"/>
      <c r="I15" s="70"/>
      <c r="J15" s="67"/>
      <c r="K15" s="71"/>
      <c r="L15" s="68"/>
      <c r="M15" s="72"/>
      <c r="N15" s="73"/>
      <c r="O15" s="65"/>
      <c r="P15" s="66"/>
      <c r="Q15" s="67"/>
      <c r="R15" s="68"/>
      <c r="S15" s="69"/>
      <c r="T15" s="70"/>
      <c r="U15" s="67"/>
      <c r="V15" s="71"/>
      <c r="W15" s="68"/>
      <c r="X15" s="72"/>
      <c r="Y15" s="73"/>
      <c r="Z15" s="65"/>
      <c r="AA15" s="66"/>
      <c r="AB15" s="67"/>
      <c r="AC15" s="68">
        <v>0.5</v>
      </c>
      <c r="AD15" s="69">
        <v>0.5</v>
      </c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/>
      <c r="BI15" s="67"/>
      <c r="BJ15" s="68"/>
      <c r="BK15" s="69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/>
      <c r="F16" s="67"/>
      <c r="G16" s="68"/>
      <c r="H16" s="69"/>
      <c r="I16" s="70"/>
      <c r="J16" s="67"/>
      <c r="K16" s="71"/>
      <c r="L16" s="68"/>
      <c r="M16" s="72"/>
      <c r="N16" s="73"/>
      <c r="O16" s="65"/>
      <c r="P16" s="66"/>
      <c r="Q16" s="67"/>
      <c r="R16" s="68"/>
      <c r="S16" s="69"/>
      <c r="T16" s="70"/>
      <c r="U16" s="67"/>
      <c r="V16" s="71"/>
      <c r="W16" s="68"/>
      <c r="X16" s="72"/>
      <c r="Y16" s="73"/>
      <c r="Z16" s="65"/>
      <c r="AA16" s="66"/>
      <c r="AB16" s="67"/>
      <c r="AC16" s="68">
        <v>0.5</v>
      </c>
      <c r="AD16" s="69">
        <v>0.5</v>
      </c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6"/>
      <c r="BI16" s="67"/>
      <c r="BJ16" s="68"/>
      <c r="BK16" s="69"/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/>
      <c r="F17" s="67"/>
      <c r="G17" s="68"/>
      <c r="H17" s="69">
        <v>1</v>
      </c>
      <c r="I17" s="70"/>
      <c r="J17" s="67"/>
      <c r="K17" s="71"/>
      <c r="L17" s="68"/>
      <c r="M17" s="72"/>
      <c r="N17" s="73"/>
      <c r="O17" s="65"/>
      <c r="P17" s="66"/>
      <c r="Q17" s="67"/>
      <c r="R17" s="68">
        <v>1</v>
      </c>
      <c r="S17" s="69"/>
      <c r="T17" s="70"/>
      <c r="U17" s="67"/>
      <c r="V17" s="71"/>
      <c r="W17" s="68"/>
      <c r="X17" s="72"/>
      <c r="Y17" s="73"/>
      <c r="Z17" s="65"/>
      <c r="AA17" s="66"/>
      <c r="AB17" s="67"/>
      <c r="AC17" s="68">
        <v>1</v>
      </c>
      <c r="AD17" s="69"/>
      <c r="AE17" s="70"/>
      <c r="AF17" s="67"/>
      <c r="AG17" s="71"/>
      <c r="AH17" s="68"/>
      <c r="AI17" s="72"/>
      <c r="AJ17" s="73"/>
      <c r="AK17" s="65"/>
      <c r="AL17" s="66">
        <v>1</v>
      </c>
      <c r="AM17" s="67"/>
      <c r="AN17" s="68"/>
      <c r="AO17" s="69">
        <v>1</v>
      </c>
      <c r="AP17" s="70"/>
      <c r="AQ17" s="67"/>
      <c r="AR17" s="71"/>
      <c r="AS17" s="68"/>
      <c r="AT17" s="72"/>
      <c r="AU17" s="73"/>
      <c r="AV17" s="65"/>
      <c r="AW17" s="66">
        <v>1</v>
      </c>
      <c r="AX17" s="67"/>
      <c r="AY17" s="68">
        <v>1</v>
      </c>
      <c r="AZ17" s="69"/>
      <c r="BA17" s="70"/>
      <c r="BB17" s="67"/>
      <c r="BC17" s="71"/>
      <c r="BD17" s="68"/>
      <c r="BE17" s="72"/>
      <c r="BF17" s="73"/>
      <c r="BG17" s="65"/>
      <c r="BH17" s="66">
        <v>1</v>
      </c>
      <c r="BI17" s="67"/>
      <c r="BJ17" s="68"/>
      <c r="BK17" s="69">
        <v>1</v>
      </c>
      <c r="BL17" s="70"/>
      <c r="BM17" s="67"/>
      <c r="BN17" s="71"/>
      <c r="BO17" s="68"/>
      <c r="BP17" s="72"/>
      <c r="BQ17" s="73"/>
      <c r="BR17" s="65">
        <v>1</v>
      </c>
      <c r="BS17" s="66"/>
      <c r="BT17" s="67"/>
      <c r="BU17" s="68">
        <v>1</v>
      </c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/>
      <c r="F18" s="67">
        <v>1</v>
      </c>
      <c r="G18" s="68"/>
      <c r="H18" s="69">
        <v>1</v>
      </c>
      <c r="I18" s="70"/>
      <c r="J18" s="67"/>
      <c r="K18" s="71"/>
      <c r="L18" s="68"/>
      <c r="M18" s="72"/>
      <c r="N18" s="73"/>
      <c r="O18" s="65"/>
      <c r="P18" s="66"/>
      <c r="Q18" s="67"/>
      <c r="R18" s="68">
        <v>1</v>
      </c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>
        <v>1</v>
      </c>
      <c r="AD18" s="69"/>
      <c r="AE18" s="70"/>
      <c r="AF18" s="67"/>
      <c r="AG18" s="71"/>
      <c r="AH18" s="68"/>
      <c r="AI18" s="72"/>
      <c r="AJ18" s="73"/>
      <c r="AK18" s="65"/>
      <c r="AL18" s="66">
        <v>1</v>
      </c>
      <c r="AM18" s="67"/>
      <c r="AN18" s="68"/>
      <c r="AO18" s="69">
        <v>1</v>
      </c>
      <c r="AP18" s="70"/>
      <c r="AQ18" s="67"/>
      <c r="AR18" s="71"/>
      <c r="AS18" s="68"/>
      <c r="AT18" s="72"/>
      <c r="AU18" s="73"/>
      <c r="AV18" s="65"/>
      <c r="AW18" s="66">
        <v>1</v>
      </c>
      <c r="AX18" s="67"/>
      <c r="AY18" s="68">
        <v>1</v>
      </c>
      <c r="AZ18" s="69"/>
      <c r="BA18" s="70"/>
      <c r="BB18" s="67"/>
      <c r="BC18" s="71"/>
      <c r="BD18" s="68"/>
      <c r="BE18" s="72"/>
      <c r="BF18" s="73"/>
      <c r="BG18" s="65"/>
      <c r="BH18" s="66">
        <v>1</v>
      </c>
      <c r="BI18" s="67">
        <v>1</v>
      </c>
      <c r="BJ18" s="68"/>
      <c r="BK18" s="69">
        <v>1</v>
      </c>
      <c r="BL18" s="70"/>
      <c r="BM18" s="67"/>
      <c r="BN18" s="71"/>
      <c r="BO18" s="68"/>
      <c r="BP18" s="72"/>
      <c r="BQ18" s="73"/>
      <c r="BR18" s="65">
        <v>1</v>
      </c>
      <c r="BS18" s="66"/>
      <c r="BT18" s="67"/>
      <c r="BU18" s="68">
        <v>1</v>
      </c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/>
      <c r="F19" s="67">
        <v>1</v>
      </c>
      <c r="G19" s="68"/>
      <c r="H19" s="69">
        <v>1</v>
      </c>
      <c r="I19" s="70"/>
      <c r="J19" s="67"/>
      <c r="K19" s="71"/>
      <c r="L19" s="68"/>
      <c r="M19" s="72"/>
      <c r="N19" s="73"/>
      <c r="O19" s="65"/>
      <c r="P19" s="66"/>
      <c r="Q19" s="67"/>
      <c r="R19" s="68">
        <v>1</v>
      </c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>
        <v>1</v>
      </c>
      <c r="AD19" s="69"/>
      <c r="AE19" s="70"/>
      <c r="AF19" s="67"/>
      <c r="AG19" s="71"/>
      <c r="AH19" s="68"/>
      <c r="AI19" s="72"/>
      <c r="AJ19" s="73"/>
      <c r="AK19" s="65"/>
      <c r="AL19" s="66">
        <v>1</v>
      </c>
      <c r="AM19" s="67"/>
      <c r="AN19" s="68"/>
      <c r="AO19" s="69">
        <v>1</v>
      </c>
      <c r="AP19" s="70"/>
      <c r="AQ19" s="67"/>
      <c r="AR19" s="71"/>
      <c r="AS19" s="68"/>
      <c r="AT19" s="72"/>
      <c r="AU19" s="73"/>
      <c r="AV19" s="65"/>
      <c r="AW19" s="66">
        <v>1</v>
      </c>
      <c r="AX19" s="67"/>
      <c r="AY19" s="68">
        <v>1</v>
      </c>
      <c r="AZ19" s="69"/>
      <c r="BA19" s="70"/>
      <c r="BB19" s="67"/>
      <c r="BC19" s="71"/>
      <c r="BD19" s="68"/>
      <c r="BE19" s="72"/>
      <c r="BF19" s="73"/>
      <c r="BG19" s="65"/>
      <c r="BH19" s="66">
        <v>1</v>
      </c>
      <c r="BI19" s="67">
        <v>1</v>
      </c>
      <c r="BJ19" s="68"/>
      <c r="BK19" s="69">
        <v>1</v>
      </c>
      <c r="BL19" s="70"/>
      <c r="BM19" s="67"/>
      <c r="BN19" s="71"/>
      <c r="BO19" s="68"/>
      <c r="BP19" s="72"/>
      <c r="BQ19" s="73"/>
      <c r="BR19" s="65">
        <v>1</v>
      </c>
      <c r="BS19" s="66"/>
      <c r="BT19" s="67"/>
      <c r="BU19" s="68">
        <v>1</v>
      </c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/>
      <c r="F20" s="67">
        <v>1</v>
      </c>
      <c r="G20" s="68"/>
      <c r="H20" s="69"/>
      <c r="I20" s="70"/>
      <c r="J20" s="67"/>
      <c r="K20" s="71"/>
      <c r="L20" s="68"/>
      <c r="M20" s="72"/>
      <c r="N20" s="74"/>
      <c r="O20" s="65"/>
      <c r="P20" s="66"/>
      <c r="Q20" s="67"/>
      <c r="R20" s="68">
        <v>1</v>
      </c>
      <c r="S20" s="69"/>
      <c r="T20" s="70"/>
      <c r="U20" s="67"/>
      <c r="V20" s="71"/>
      <c r="W20" s="68"/>
      <c r="X20" s="72"/>
      <c r="Y20" s="74"/>
      <c r="Z20" s="65"/>
      <c r="AA20" s="66"/>
      <c r="AB20" s="67"/>
      <c r="AC20" s="68">
        <v>1</v>
      </c>
      <c r="AD20" s="69">
        <v>1</v>
      </c>
      <c r="AE20" s="70"/>
      <c r="AF20" s="67"/>
      <c r="AG20" s="71"/>
      <c r="AH20" s="68"/>
      <c r="AI20" s="72"/>
      <c r="AJ20" s="74"/>
      <c r="AK20" s="65"/>
      <c r="AL20" s="66">
        <v>1</v>
      </c>
      <c r="AM20" s="67"/>
      <c r="AN20" s="68"/>
      <c r="AO20" s="69">
        <v>1</v>
      </c>
      <c r="AP20" s="70"/>
      <c r="AQ20" s="67"/>
      <c r="AR20" s="71"/>
      <c r="AS20" s="68"/>
      <c r="AT20" s="72"/>
      <c r="AU20" s="74"/>
      <c r="AV20" s="65"/>
      <c r="AW20" s="66">
        <v>1</v>
      </c>
      <c r="AX20" s="67"/>
      <c r="AY20" s="68">
        <v>1</v>
      </c>
      <c r="AZ20" s="69"/>
      <c r="BA20" s="70"/>
      <c r="BB20" s="67"/>
      <c r="BC20" s="71"/>
      <c r="BD20" s="68"/>
      <c r="BE20" s="72"/>
      <c r="BF20" s="74"/>
      <c r="BG20" s="65"/>
      <c r="BH20" s="66">
        <v>1</v>
      </c>
      <c r="BI20" s="67">
        <v>1</v>
      </c>
      <c r="BJ20" s="68">
        <v>1</v>
      </c>
      <c r="BK20" s="69">
        <v>1</v>
      </c>
      <c r="BL20" s="70"/>
      <c r="BM20" s="67"/>
      <c r="BN20" s="71"/>
      <c r="BO20" s="68"/>
      <c r="BP20" s="72"/>
      <c r="BQ20" s="74"/>
      <c r="BR20" s="65">
        <v>1</v>
      </c>
      <c r="BS20" s="66"/>
      <c r="BT20" s="67"/>
      <c r="BU20" s="68"/>
      <c r="BV20" s="69">
        <v>1</v>
      </c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/>
      <c r="F21" s="67">
        <v>1</v>
      </c>
      <c r="G21" s="68"/>
      <c r="H21" s="69">
        <v>1</v>
      </c>
      <c r="I21" s="70"/>
      <c r="J21" s="67"/>
      <c r="K21" s="71"/>
      <c r="L21" s="68"/>
      <c r="M21" s="72"/>
      <c r="N21" s="73"/>
      <c r="O21" s="65"/>
      <c r="P21" s="66"/>
      <c r="Q21" s="67">
        <v>1</v>
      </c>
      <c r="R21" s="68"/>
      <c r="S21" s="69"/>
      <c r="T21" s="70"/>
      <c r="U21" s="67"/>
      <c r="V21" s="71"/>
      <c r="W21" s="68"/>
      <c r="X21" s="72"/>
      <c r="Y21" s="73"/>
      <c r="Z21" s="65"/>
      <c r="AA21" s="66"/>
      <c r="AB21" s="67"/>
      <c r="AC21" s="68"/>
      <c r="AD21" s="69"/>
      <c r="AE21" s="70"/>
      <c r="AF21" s="67"/>
      <c r="AG21" s="71"/>
      <c r="AH21" s="68"/>
      <c r="AI21" s="72"/>
      <c r="AJ21" s="73"/>
      <c r="AK21" s="65"/>
      <c r="AL21" s="66"/>
      <c r="AM21" s="67"/>
      <c r="AN21" s="68">
        <v>0.5</v>
      </c>
      <c r="AO21" s="69"/>
      <c r="AP21" s="70"/>
      <c r="AQ21" s="67"/>
      <c r="AR21" s="71"/>
      <c r="AS21" s="68"/>
      <c r="AT21" s="72"/>
      <c r="AU21" s="73"/>
      <c r="AV21" s="65"/>
      <c r="AW21" s="66"/>
      <c r="AX21" s="67"/>
      <c r="AY21" s="68">
        <v>1</v>
      </c>
      <c r="AZ21" s="69"/>
      <c r="BA21" s="70"/>
      <c r="BB21" s="67"/>
      <c r="BC21" s="71"/>
      <c r="BD21" s="68"/>
      <c r="BE21" s="72"/>
      <c r="BF21" s="73"/>
      <c r="BG21" s="65"/>
      <c r="BH21" s="66"/>
      <c r="BI21" s="67">
        <v>1</v>
      </c>
      <c r="BJ21" s="68">
        <v>1</v>
      </c>
      <c r="BK21" s="69"/>
      <c r="BL21" s="70"/>
      <c r="BM21" s="67"/>
      <c r="BN21" s="71"/>
      <c r="BO21" s="68"/>
      <c r="BP21" s="72"/>
      <c r="BQ21" s="73"/>
      <c r="BR21" s="65"/>
      <c r="BS21" s="66"/>
      <c r="BT21" s="67"/>
      <c r="BU21" s="68">
        <v>1</v>
      </c>
      <c r="BV21" s="69"/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/>
      <c r="G22" s="68"/>
      <c r="H22" s="69">
        <v>1</v>
      </c>
      <c r="I22" s="70"/>
      <c r="J22" s="67"/>
      <c r="K22" s="71"/>
      <c r="L22" s="68"/>
      <c r="M22" s="72"/>
      <c r="N22" s="73"/>
      <c r="O22" s="65"/>
      <c r="P22" s="66"/>
      <c r="Q22" s="67">
        <v>1</v>
      </c>
      <c r="R22" s="68">
        <v>1</v>
      </c>
      <c r="S22" s="69"/>
      <c r="T22" s="70"/>
      <c r="U22" s="67"/>
      <c r="V22" s="71"/>
      <c r="W22" s="68"/>
      <c r="X22" s="72"/>
      <c r="Y22" s="73"/>
      <c r="Z22" s="65"/>
      <c r="AA22" s="66"/>
      <c r="AB22" s="67"/>
      <c r="AC22" s="68"/>
      <c r="AD22" s="69">
        <v>1</v>
      </c>
      <c r="AE22" s="70"/>
      <c r="AF22" s="67"/>
      <c r="AG22" s="71"/>
      <c r="AH22" s="68"/>
      <c r="AI22" s="72"/>
      <c r="AJ22" s="73"/>
      <c r="AK22" s="65"/>
      <c r="AL22" s="66"/>
      <c r="AM22" s="67"/>
      <c r="AN22" s="68"/>
      <c r="AO22" s="69">
        <v>1</v>
      </c>
      <c r="AP22" s="70"/>
      <c r="AQ22" s="67"/>
      <c r="AR22" s="71"/>
      <c r="AS22" s="68"/>
      <c r="AT22" s="72"/>
      <c r="AU22" s="73"/>
      <c r="AV22" s="65"/>
      <c r="AW22" s="66"/>
      <c r="AX22" s="67"/>
      <c r="AY22" s="68"/>
      <c r="AZ22" s="69">
        <v>1</v>
      </c>
      <c r="BA22" s="70"/>
      <c r="BB22" s="67"/>
      <c r="BC22" s="71"/>
      <c r="BD22" s="68"/>
      <c r="BE22" s="72"/>
      <c r="BF22" s="73"/>
      <c r="BG22" s="65"/>
      <c r="BH22" s="66"/>
      <c r="BI22" s="67"/>
      <c r="BJ22" s="68"/>
      <c r="BK22" s="69">
        <v>1</v>
      </c>
      <c r="BL22" s="70"/>
      <c r="BM22" s="67"/>
      <c r="BN22" s="71"/>
      <c r="BO22" s="68"/>
      <c r="BP22" s="72"/>
      <c r="BQ22" s="73"/>
      <c r="BR22" s="65"/>
      <c r="BS22" s="66"/>
      <c r="BT22" s="67"/>
      <c r="BU22" s="68">
        <v>1</v>
      </c>
      <c r="BV22" s="69">
        <v>1</v>
      </c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/>
      <c r="E23" s="66"/>
      <c r="F23" s="67"/>
      <c r="G23" s="68"/>
      <c r="H23" s="69">
        <v>1</v>
      </c>
      <c r="I23" s="70"/>
      <c r="J23" s="67"/>
      <c r="K23" s="71"/>
      <c r="L23" s="68"/>
      <c r="M23" s="72"/>
      <c r="N23" s="73"/>
      <c r="O23" s="65"/>
      <c r="P23" s="66"/>
      <c r="Q23" s="67">
        <v>1</v>
      </c>
      <c r="R23" s="68">
        <v>1</v>
      </c>
      <c r="S23" s="69"/>
      <c r="T23" s="70"/>
      <c r="U23" s="67"/>
      <c r="V23" s="71"/>
      <c r="W23" s="68"/>
      <c r="X23" s="72"/>
      <c r="Y23" s="73"/>
      <c r="Z23" s="65">
        <v>1</v>
      </c>
      <c r="AA23" s="66"/>
      <c r="AB23" s="67"/>
      <c r="AC23" s="68"/>
      <c r="AD23" s="69">
        <v>1</v>
      </c>
      <c r="AE23" s="70"/>
      <c r="AF23" s="67"/>
      <c r="AG23" s="71"/>
      <c r="AH23" s="68"/>
      <c r="AI23" s="72"/>
      <c r="AJ23" s="73"/>
      <c r="AK23" s="65"/>
      <c r="AL23" s="66"/>
      <c r="AM23" s="67"/>
      <c r="AN23" s="68">
        <v>1</v>
      </c>
      <c r="AO23" s="69">
        <v>1</v>
      </c>
      <c r="AP23" s="70"/>
      <c r="AQ23" s="67"/>
      <c r="AR23" s="71"/>
      <c r="AS23" s="68"/>
      <c r="AT23" s="72"/>
      <c r="AU23" s="73"/>
      <c r="AV23" s="65"/>
      <c r="AW23" s="66"/>
      <c r="AX23" s="67"/>
      <c r="AY23" s="68">
        <v>1</v>
      </c>
      <c r="AZ23" s="69"/>
      <c r="BA23" s="70"/>
      <c r="BB23" s="67"/>
      <c r="BC23" s="71"/>
      <c r="BD23" s="68"/>
      <c r="BE23" s="72"/>
      <c r="BF23" s="73"/>
      <c r="BG23" s="65"/>
      <c r="BH23" s="66"/>
      <c r="BI23" s="67"/>
      <c r="BJ23" s="68">
        <v>1</v>
      </c>
      <c r="BK23" s="69">
        <v>1</v>
      </c>
      <c r="BL23" s="70"/>
      <c r="BM23" s="67"/>
      <c r="BN23" s="71"/>
      <c r="BO23" s="68"/>
      <c r="BP23" s="72"/>
      <c r="BQ23" s="73"/>
      <c r="BR23" s="65"/>
      <c r="BS23" s="66"/>
      <c r="BT23" s="67"/>
      <c r="BU23" s="68">
        <v>1</v>
      </c>
      <c r="BV23" s="69">
        <v>1</v>
      </c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/>
      <c r="E24" s="66"/>
      <c r="F24" s="67"/>
      <c r="G24" s="68"/>
      <c r="H24" s="69">
        <v>1</v>
      </c>
      <c r="I24" s="70"/>
      <c r="J24" s="67"/>
      <c r="K24" s="71"/>
      <c r="L24" s="68"/>
      <c r="M24" s="72"/>
      <c r="N24" s="73"/>
      <c r="O24" s="65"/>
      <c r="P24" s="66"/>
      <c r="Q24" s="67">
        <v>1</v>
      </c>
      <c r="R24" s="68">
        <v>1</v>
      </c>
      <c r="S24" s="69"/>
      <c r="T24" s="70"/>
      <c r="U24" s="67"/>
      <c r="V24" s="71"/>
      <c r="W24" s="68"/>
      <c r="X24" s="72"/>
      <c r="Y24" s="73"/>
      <c r="Z24" s="65">
        <v>1</v>
      </c>
      <c r="AA24" s="66">
        <v>0.5</v>
      </c>
      <c r="AB24" s="67"/>
      <c r="AC24" s="68"/>
      <c r="AD24" s="69">
        <v>1</v>
      </c>
      <c r="AE24" s="70"/>
      <c r="AF24" s="67"/>
      <c r="AG24" s="71"/>
      <c r="AH24" s="68"/>
      <c r="AI24" s="72"/>
      <c r="AJ24" s="73"/>
      <c r="AK24" s="65"/>
      <c r="AL24" s="66"/>
      <c r="AM24" s="67"/>
      <c r="AN24" s="68">
        <v>1</v>
      </c>
      <c r="AO24" s="69">
        <v>1</v>
      </c>
      <c r="AP24" s="70"/>
      <c r="AQ24" s="67"/>
      <c r="AR24" s="71"/>
      <c r="AS24" s="68"/>
      <c r="AT24" s="72"/>
      <c r="AU24" s="73"/>
      <c r="AV24" s="65"/>
      <c r="AW24" s="66"/>
      <c r="AX24" s="67"/>
      <c r="AY24" s="68">
        <v>1</v>
      </c>
      <c r="AZ24" s="69">
        <v>1</v>
      </c>
      <c r="BA24" s="70"/>
      <c r="BB24" s="67"/>
      <c r="BC24" s="71"/>
      <c r="BD24" s="68"/>
      <c r="BE24" s="72"/>
      <c r="BF24" s="73"/>
      <c r="BG24" s="65"/>
      <c r="BH24" s="66"/>
      <c r="BI24" s="67"/>
      <c r="BJ24" s="68">
        <v>1</v>
      </c>
      <c r="BK24" s="69"/>
      <c r="BL24" s="70"/>
      <c r="BM24" s="67"/>
      <c r="BN24" s="71"/>
      <c r="BO24" s="68"/>
      <c r="BP24" s="72"/>
      <c r="BQ24" s="73"/>
      <c r="BR24" s="65"/>
      <c r="BS24" s="66"/>
      <c r="BT24" s="67"/>
      <c r="BU24" s="68">
        <v>1</v>
      </c>
      <c r="BV24" s="69">
        <v>1</v>
      </c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/>
      <c r="E25" s="66"/>
      <c r="F25" s="67"/>
      <c r="G25" s="68"/>
      <c r="H25" s="69">
        <v>1</v>
      </c>
      <c r="I25" s="70"/>
      <c r="J25" s="67"/>
      <c r="K25" s="71"/>
      <c r="L25" s="68"/>
      <c r="M25" s="72"/>
      <c r="N25" s="73"/>
      <c r="O25" s="65"/>
      <c r="P25" s="66"/>
      <c r="Q25" s="67"/>
      <c r="R25" s="68">
        <v>1</v>
      </c>
      <c r="S25" s="69"/>
      <c r="T25" s="70"/>
      <c r="U25" s="67"/>
      <c r="V25" s="71"/>
      <c r="W25" s="68"/>
      <c r="X25" s="72"/>
      <c r="Y25" s="73"/>
      <c r="Z25" s="65">
        <v>1</v>
      </c>
      <c r="AA25" s="66">
        <v>1</v>
      </c>
      <c r="AB25" s="67"/>
      <c r="AC25" s="68"/>
      <c r="AD25" s="69">
        <v>1</v>
      </c>
      <c r="AE25" s="70"/>
      <c r="AF25" s="67"/>
      <c r="AG25" s="71"/>
      <c r="AH25" s="68"/>
      <c r="AI25" s="72"/>
      <c r="AJ25" s="73"/>
      <c r="AK25" s="65">
        <v>1</v>
      </c>
      <c r="AL25" s="66"/>
      <c r="AM25" s="67"/>
      <c r="AN25" s="68">
        <v>1</v>
      </c>
      <c r="AO25" s="69">
        <v>1</v>
      </c>
      <c r="AP25" s="70"/>
      <c r="AQ25" s="67"/>
      <c r="AR25" s="71"/>
      <c r="AS25" s="68"/>
      <c r="AT25" s="72"/>
      <c r="AU25" s="73"/>
      <c r="AV25" s="65">
        <v>1</v>
      </c>
      <c r="AW25" s="66"/>
      <c r="AX25" s="67"/>
      <c r="AY25" s="68">
        <v>1</v>
      </c>
      <c r="AZ25" s="69">
        <v>1</v>
      </c>
      <c r="BA25" s="70"/>
      <c r="BB25" s="67"/>
      <c r="BC25" s="71"/>
      <c r="BD25" s="68"/>
      <c r="BE25" s="72"/>
      <c r="BF25" s="73"/>
      <c r="BG25" s="65">
        <v>1</v>
      </c>
      <c r="BH25" s="66"/>
      <c r="BI25" s="67"/>
      <c r="BJ25" s="68">
        <v>1</v>
      </c>
      <c r="BK25" s="69"/>
      <c r="BL25" s="70"/>
      <c r="BM25" s="67"/>
      <c r="BN25" s="71"/>
      <c r="BO25" s="68"/>
      <c r="BP25" s="72"/>
      <c r="BQ25" s="73"/>
      <c r="BR25" s="65"/>
      <c r="BS25" s="66">
        <v>1</v>
      </c>
      <c r="BT25" s="67">
        <v>1</v>
      </c>
      <c r="BU25" s="68">
        <v>0.5</v>
      </c>
      <c r="BV25" s="69">
        <v>1</v>
      </c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/>
      <c r="E26" s="66"/>
      <c r="F26" s="67"/>
      <c r="G26" s="68"/>
      <c r="H26" s="69">
        <v>1</v>
      </c>
      <c r="I26" s="70"/>
      <c r="J26" s="67"/>
      <c r="K26" s="71"/>
      <c r="L26" s="68"/>
      <c r="M26" s="72"/>
      <c r="N26" s="73"/>
      <c r="O26" s="65"/>
      <c r="P26" s="66"/>
      <c r="Q26" s="67"/>
      <c r="R26" s="68">
        <v>1</v>
      </c>
      <c r="S26" s="69"/>
      <c r="T26" s="70"/>
      <c r="U26" s="67"/>
      <c r="V26" s="71"/>
      <c r="W26" s="68"/>
      <c r="X26" s="72"/>
      <c r="Y26" s="73"/>
      <c r="Z26" s="65">
        <v>1</v>
      </c>
      <c r="AA26" s="66">
        <v>1</v>
      </c>
      <c r="AB26" s="67"/>
      <c r="AC26" s="68"/>
      <c r="AD26" s="69">
        <v>1</v>
      </c>
      <c r="AE26" s="70"/>
      <c r="AF26" s="67"/>
      <c r="AG26" s="71"/>
      <c r="AH26" s="68"/>
      <c r="AI26" s="72"/>
      <c r="AJ26" s="73"/>
      <c r="AK26" s="65">
        <v>1</v>
      </c>
      <c r="AL26" s="66"/>
      <c r="AM26" s="67"/>
      <c r="AN26" s="68">
        <v>1</v>
      </c>
      <c r="AO26" s="69"/>
      <c r="AP26" s="70"/>
      <c r="AQ26" s="67"/>
      <c r="AR26" s="71"/>
      <c r="AS26" s="68"/>
      <c r="AT26" s="72"/>
      <c r="AU26" s="73"/>
      <c r="AV26" s="65">
        <v>1</v>
      </c>
      <c r="AW26" s="66"/>
      <c r="AX26" s="67"/>
      <c r="AY26" s="68">
        <v>1</v>
      </c>
      <c r="AZ26" s="69">
        <v>1</v>
      </c>
      <c r="BA26" s="70"/>
      <c r="BB26" s="67"/>
      <c r="BC26" s="71"/>
      <c r="BD26" s="68"/>
      <c r="BE26" s="72"/>
      <c r="BF26" s="73"/>
      <c r="BG26" s="65">
        <v>1</v>
      </c>
      <c r="BH26" s="66"/>
      <c r="BI26" s="67"/>
      <c r="BJ26" s="68">
        <v>1</v>
      </c>
      <c r="BK26" s="69"/>
      <c r="BL26" s="70"/>
      <c r="BM26" s="67"/>
      <c r="BN26" s="71"/>
      <c r="BO26" s="68"/>
      <c r="BP26" s="72"/>
      <c r="BQ26" s="73"/>
      <c r="BR26" s="65"/>
      <c r="BS26" s="66">
        <v>1</v>
      </c>
      <c r="BT26" s="67">
        <v>1</v>
      </c>
      <c r="BU26" s="68"/>
      <c r="BV26" s="69">
        <v>1</v>
      </c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/>
      <c r="E27" s="66"/>
      <c r="F27" s="67"/>
      <c r="G27" s="68"/>
      <c r="H27" s="69">
        <v>1</v>
      </c>
      <c r="I27" s="70"/>
      <c r="J27" s="67"/>
      <c r="K27" s="71"/>
      <c r="L27" s="68"/>
      <c r="M27" s="72"/>
      <c r="N27" s="73"/>
      <c r="O27" s="65"/>
      <c r="P27" s="66"/>
      <c r="Q27" s="67"/>
      <c r="R27" s="68">
        <v>1</v>
      </c>
      <c r="S27" s="69"/>
      <c r="T27" s="70"/>
      <c r="U27" s="67"/>
      <c r="V27" s="71"/>
      <c r="W27" s="68"/>
      <c r="X27" s="72"/>
      <c r="Y27" s="73"/>
      <c r="Z27" s="65"/>
      <c r="AA27" s="66">
        <v>1</v>
      </c>
      <c r="AB27" s="67"/>
      <c r="AC27" s="68"/>
      <c r="AD27" s="69">
        <v>1</v>
      </c>
      <c r="AE27" s="70"/>
      <c r="AF27" s="67"/>
      <c r="AG27" s="71"/>
      <c r="AH27" s="68"/>
      <c r="AI27" s="72"/>
      <c r="AJ27" s="73"/>
      <c r="AK27" s="65">
        <v>1</v>
      </c>
      <c r="AL27" s="66"/>
      <c r="AM27" s="67"/>
      <c r="AN27" s="68">
        <v>1</v>
      </c>
      <c r="AO27" s="69"/>
      <c r="AP27" s="70"/>
      <c r="AQ27" s="67"/>
      <c r="AR27" s="71"/>
      <c r="AS27" s="68"/>
      <c r="AT27" s="72"/>
      <c r="AU27" s="73"/>
      <c r="AV27" s="65">
        <v>1</v>
      </c>
      <c r="AW27" s="66"/>
      <c r="AX27" s="67"/>
      <c r="AY27" s="68">
        <v>1</v>
      </c>
      <c r="AZ27" s="69">
        <v>1</v>
      </c>
      <c r="BA27" s="70"/>
      <c r="BB27" s="67"/>
      <c r="BC27" s="71"/>
      <c r="BD27" s="68"/>
      <c r="BE27" s="72"/>
      <c r="BF27" s="73"/>
      <c r="BG27" s="65">
        <v>1</v>
      </c>
      <c r="BH27" s="66"/>
      <c r="BI27" s="67"/>
      <c r="BJ27" s="68">
        <v>1</v>
      </c>
      <c r="BK27" s="69"/>
      <c r="BL27" s="70"/>
      <c r="BM27" s="67"/>
      <c r="BN27" s="71"/>
      <c r="BO27" s="68"/>
      <c r="BP27" s="72"/>
      <c r="BQ27" s="73"/>
      <c r="BR27" s="65"/>
      <c r="BS27" s="66">
        <v>1</v>
      </c>
      <c r="BT27" s="67">
        <v>1</v>
      </c>
      <c r="BU27" s="68"/>
      <c r="BV27" s="69">
        <v>1</v>
      </c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/>
      <c r="E28" s="66"/>
      <c r="F28" s="67"/>
      <c r="G28" s="68"/>
      <c r="H28" s="69">
        <v>1</v>
      </c>
      <c r="I28" s="70"/>
      <c r="J28" s="67"/>
      <c r="K28" s="71"/>
      <c r="L28" s="68"/>
      <c r="M28" s="72"/>
      <c r="N28" s="73"/>
      <c r="O28" s="65"/>
      <c r="P28" s="66"/>
      <c r="Q28" s="67"/>
      <c r="R28" s="68">
        <v>1</v>
      </c>
      <c r="S28" s="69"/>
      <c r="T28" s="70"/>
      <c r="U28" s="67"/>
      <c r="V28" s="71"/>
      <c r="W28" s="68"/>
      <c r="X28" s="72"/>
      <c r="Y28" s="73"/>
      <c r="Z28" s="65"/>
      <c r="AA28" s="66">
        <v>1</v>
      </c>
      <c r="AB28" s="67"/>
      <c r="AC28" s="68"/>
      <c r="AD28" s="69">
        <v>1</v>
      </c>
      <c r="AE28" s="70"/>
      <c r="AF28" s="67"/>
      <c r="AG28" s="71"/>
      <c r="AH28" s="68"/>
      <c r="AI28" s="72"/>
      <c r="AJ28" s="73"/>
      <c r="AK28" s="65">
        <v>1</v>
      </c>
      <c r="AL28" s="66"/>
      <c r="AM28" s="67"/>
      <c r="AN28" s="68">
        <v>1</v>
      </c>
      <c r="AO28" s="69"/>
      <c r="AP28" s="70"/>
      <c r="AQ28" s="67"/>
      <c r="AR28" s="71"/>
      <c r="AS28" s="68"/>
      <c r="AT28" s="72"/>
      <c r="AU28" s="73"/>
      <c r="AV28" s="65">
        <v>1</v>
      </c>
      <c r="AW28" s="66"/>
      <c r="AX28" s="67"/>
      <c r="AY28" s="68"/>
      <c r="AZ28" s="69">
        <v>1</v>
      </c>
      <c r="BA28" s="70"/>
      <c r="BB28" s="67"/>
      <c r="BC28" s="71"/>
      <c r="BD28" s="68"/>
      <c r="BE28" s="72"/>
      <c r="BF28" s="73"/>
      <c r="BG28" s="65">
        <v>1</v>
      </c>
      <c r="BH28" s="66"/>
      <c r="BI28" s="67"/>
      <c r="BJ28" s="68">
        <v>1</v>
      </c>
      <c r="BK28" s="69"/>
      <c r="BL28" s="70"/>
      <c r="BM28" s="67"/>
      <c r="BN28" s="71"/>
      <c r="BO28" s="68"/>
      <c r="BP28" s="72"/>
      <c r="BQ28" s="73"/>
      <c r="BR28" s="65"/>
      <c r="BS28" s="66">
        <v>1</v>
      </c>
      <c r="BT28" s="67">
        <v>1</v>
      </c>
      <c r="BU28" s="68"/>
      <c r="BV28" s="69">
        <v>1</v>
      </c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30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31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01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02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03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04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05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>
        <f t="shared" ref="D33:M33" si="0">+D6</f>
        <v>0</v>
      </c>
      <c r="E33" s="31">
        <f t="shared" si="0"/>
        <v>0</v>
      </c>
      <c r="F33" s="32" t="str">
        <f t="shared" si="0"/>
        <v>ALEJANDRO</v>
      </c>
      <c r="G33" s="33" t="str">
        <f t="shared" si="0"/>
        <v>LINDSAY</v>
      </c>
      <c r="H33" s="34" t="str">
        <f t="shared" si="0"/>
        <v>MILA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>
        <f t="shared" ref="O33:X33" si="1">+O6</f>
        <v>0</v>
      </c>
      <c r="P33" s="31">
        <f t="shared" si="1"/>
        <v>0</v>
      </c>
      <c r="Q33" s="32" t="str">
        <f t="shared" si="1"/>
        <v>ALEJANDRO</v>
      </c>
      <c r="R33" s="33" t="str">
        <f t="shared" si="1"/>
        <v>LINDSAY</v>
      </c>
      <c r="S33" s="34" t="str">
        <f t="shared" si="1"/>
        <v>MILA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MICHAEL</v>
      </c>
      <c r="AA33" s="31" t="str">
        <f t="shared" si="2"/>
        <v>ANAHY</v>
      </c>
      <c r="AB33" s="32">
        <f t="shared" si="2"/>
        <v>0</v>
      </c>
      <c r="AC33" s="33" t="str">
        <f t="shared" si="2"/>
        <v>LINDSAY</v>
      </c>
      <c r="AD33" s="34" t="str">
        <f t="shared" si="2"/>
        <v>MILA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MICHAEL</v>
      </c>
      <c r="AL33" s="31" t="str">
        <f t="shared" si="3"/>
        <v>ANAHY</v>
      </c>
      <c r="AM33" s="32">
        <f t="shared" si="3"/>
        <v>0</v>
      </c>
      <c r="AN33" s="33" t="str">
        <f t="shared" si="3"/>
        <v>LINDSAY</v>
      </c>
      <c r="AO33" s="34" t="str">
        <f t="shared" si="3"/>
        <v>MILA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MICHAEL</v>
      </c>
      <c r="AW33" s="31" t="str">
        <f t="shared" si="4"/>
        <v>ANAHY</v>
      </c>
      <c r="AX33" s="32">
        <f t="shared" si="4"/>
        <v>0</v>
      </c>
      <c r="AY33" s="33" t="str">
        <f t="shared" si="4"/>
        <v>LINDSAY</v>
      </c>
      <c r="AZ33" s="34" t="str">
        <f t="shared" si="4"/>
        <v>MILA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MICHAEL</v>
      </c>
      <c r="BH33" s="31" t="str">
        <f t="shared" si="5"/>
        <v>ANAHY</v>
      </c>
      <c r="BI33" s="32" t="str">
        <f t="shared" si="5"/>
        <v>ALICIA</v>
      </c>
      <c r="BJ33" s="33" t="str">
        <f t="shared" si="5"/>
        <v>LINDSAY</v>
      </c>
      <c r="BK33" s="34" t="str">
        <f t="shared" si="5"/>
        <v>MILA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MICHAEL</v>
      </c>
      <c r="BS33" s="31" t="str">
        <f t="shared" si="6"/>
        <v>ANAHY</v>
      </c>
      <c r="BT33" s="32" t="str">
        <f t="shared" si="6"/>
        <v>ALICIA</v>
      </c>
      <c r="BU33" s="33" t="str">
        <f t="shared" si="6"/>
        <v>LINDSAY</v>
      </c>
      <c r="BV33" s="34" t="str">
        <f t="shared" si="6"/>
        <v>MILA</v>
      </c>
      <c r="BW33" s="35">
        <f t="shared" si="6"/>
        <v>0</v>
      </c>
      <c r="BX33" s="32">
        <f t="shared" si="6"/>
        <v>0</v>
      </c>
      <c r="BY33" s="36" t="str">
        <f t="shared" si="6"/>
        <v>BIANACA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0</v>
      </c>
      <c r="E34" s="48">
        <f t="shared" ref="E34:M34" si="7">SUM(E7:E30)</f>
        <v>0</v>
      </c>
      <c r="F34" s="49">
        <f t="shared" si="7"/>
        <v>4</v>
      </c>
      <c r="G34" s="50">
        <f t="shared" si="7"/>
        <v>0</v>
      </c>
      <c r="H34" s="51">
        <f t="shared" si="7"/>
        <v>11</v>
      </c>
      <c r="I34" s="52">
        <f t="shared" si="7"/>
        <v>0</v>
      </c>
      <c r="J34" s="49">
        <f t="shared" si="7"/>
        <v>0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0</v>
      </c>
      <c r="P34" s="48">
        <f t="shared" si="8"/>
        <v>0</v>
      </c>
      <c r="Q34" s="49">
        <f t="shared" si="8"/>
        <v>4</v>
      </c>
      <c r="R34" s="50">
        <f t="shared" si="8"/>
        <v>11</v>
      </c>
      <c r="S34" s="51">
        <f t="shared" si="8"/>
        <v>0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4</v>
      </c>
      <c r="AA34" s="48">
        <f t="shared" si="9"/>
        <v>4.5</v>
      </c>
      <c r="AB34" s="49">
        <f t="shared" si="9"/>
        <v>0</v>
      </c>
      <c r="AC34" s="50">
        <f t="shared" si="9"/>
        <v>5</v>
      </c>
      <c r="AD34" s="51">
        <f t="shared" si="9"/>
        <v>9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4</v>
      </c>
      <c r="AL34" s="48">
        <f t="shared" si="10"/>
        <v>4</v>
      </c>
      <c r="AM34" s="49">
        <f t="shared" si="10"/>
        <v>0</v>
      </c>
      <c r="AN34" s="50">
        <f t="shared" si="10"/>
        <v>6.5</v>
      </c>
      <c r="AO34" s="51">
        <f t="shared" si="10"/>
        <v>8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4</v>
      </c>
      <c r="AW34" s="48">
        <f t="shared" si="11"/>
        <v>4</v>
      </c>
      <c r="AX34" s="49">
        <f t="shared" si="11"/>
        <v>0</v>
      </c>
      <c r="AY34" s="50">
        <f t="shared" si="11"/>
        <v>10</v>
      </c>
      <c r="AZ34" s="51">
        <f t="shared" si="11"/>
        <v>6</v>
      </c>
      <c r="BA34" s="52">
        <f t="shared" si="11"/>
        <v>0</v>
      </c>
      <c r="BB34" s="49">
        <f t="shared" si="11"/>
        <v>0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4</v>
      </c>
      <c r="BH34" s="48">
        <f t="shared" si="12"/>
        <v>4</v>
      </c>
      <c r="BI34" s="49">
        <f t="shared" si="12"/>
        <v>4</v>
      </c>
      <c r="BJ34" s="50">
        <f t="shared" si="12"/>
        <v>8</v>
      </c>
      <c r="BK34" s="51">
        <f t="shared" si="12"/>
        <v>6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4</v>
      </c>
      <c r="BS34" s="48">
        <f t="shared" si="13"/>
        <v>4</v>
      </c>
      <c r="BT34" s="49">
        <f t="shared" si="13"/>
        <v>4</v>
      </c>
      <c r="BU34" s="50">
        <f t="shared" si="13"/>
        <v>7.5</v>
      </c>
      <c r="BV34" s="51">
        <f t="shared" si="13"/>
        <v>8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/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20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32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20.5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31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16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48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17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48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0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0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41:J41"/>
    <mergeCell ref="L41:N41"/>
    <mergeCell ref="B42:J42"/>
    <mergeCell ref="L42:N42"/>
    <mergeCell ref="B43:J43"/>
    <mergeCell ref="L43:N43"/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</mergeCells>
  <conditionalFormatting sqref="D7:M14 D29:M30">
    <cfRule type="expression" dxfId="314" priority="14">
      <formula>IF(OR(D7=0,D7=""),TRUE(),FALSE())</formula>
    </cfRule>
  </conditionalFormatting>
  <conditionalFormatting sqref="D15:M28">
    <cfRule type="expression" dxfId="313" priority="13">
      <formula>IF(OR(D15=0,D15=""),TRUE(),FALSE())</formula>
    </cfRule>
  </conditionalFormatting>
  <conditionalFormatting sqref="O7:X14 O29:X30">
    <cfRule type="expression" dxfId="312" priority="12">
      <formula>IF(OR(O7=0,O7=""),TRUE(),FALSE())</formula>
    </cfRule>
  </conditionalFormatting>
  <conditionalFormatting sqref="O15:X28">
    <cfRule type="expression" dxfId="311" priority="11">
      <formula>IF(OR(O15=0,O15=""),TRUE(),FALSE())</formula>
    </cfRule>
  </conditionalFormatting>
  <conditionalFormatting sqref="Z7:AI14 Z29:AI30">
    <cfRule type="expression" dxfId="310" priority="10">
      <formula>IF(OR(Z7=0,Z7=""),TRUE(),FALSE())</formula>
    </cfRule>
  </conditionalFormatting>
  <conditionalFormatting sqref="Z15:AI28">
    <cfRule type="expression" dxfId="309" priority="9">
      <formula>IF(OR(Z15=0,Z15=""),TRUE(),FALSE())</formula>
    </cfRule>
  </conditionalFormatting>
  <conditionalFormatting sqref="AK7:AT14 AK29:AT30">
    <cfRule type="expression" dxfId="308" priority="8">
      <formula>IF(OR(AK7=0,AK7=""),TRUE(),FALSE())</formula>
    </cfRule>
  </conditionalFormatting>
  <conditionalFormatting sqref="AK15:AT28">
    <cfRule type="expression" dxfId="307" priority="7">
      <formula>IF(OR(AK15=0,AK15=""),TRUE(),FALSE())</formula>
    </cfRule>
  </conditionalFormatting>
  <conditionalFormatting sqref="AV7:BE14 AV29:BE30">
    <cfRule type="expression" dxfId="306" priority="6">
      <formula>IF(OR(AV7=0,AV7=""),TRUE(),FALSE())</formula>
    </cfRule>
  </conditionalFormatting>
  <conditionalFormatting sqref="AV15:BE28">
    <cfRule type="expression" dxfId="305" priority="5">
      <formula>IF(OR(AV15=0,AV15=""),TRUE(),FALSE())</formula>
    </cfRule>
  </conditionalFormatting>
  <conditionalFormatting sqref="BG7:BP14 BG29:BP30">
    <cfRule type="expression" dxfId="304" priority="4">
      <formula>IF(OR(BG7=0,BG7=""),TRUE(),FALSE())</formula>
    </cfRule>
  </conditionalFormatting>
  <conditionalFormatting sqref="BG15:BP28">
    <cfRule type="expression" dxfId="303" priority="3">
      <formula>IF(OR(BG15=0,BG15=""),TRUE(),FALSE())</formula>
    </cfRule>
  </conditionalFormatting>
  <conditionalFormatting sqref="BR7:CA14 BR29:CA30">
    <cfRule type="expression" dxfId="302" priority="2">
      <formula>IF(OR(BR7=0,BR7=""),TRUE(),FALSE())</formula>
    </cfRule>
  </conditionalFormatting>
  <conditionalFormatting sqref="BR15:CA28">
    <cfRule type="expression" dxfId="301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76BE5BB6-1BD5-48D1-9960-8F54342ADD7B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41446-6BC4-4475-86C4-B498603E8F17}">
  <sheetPr codeName="Hoja6"/>
  <dimension ref="A1:CA48"/>
  <sheetViews>
    <sheetView showGridLines="0" zoomScale="69" zoomScaleNormal="69" workbookViewId="0">
      <pane xSplit="3" ySplit="6" topLeftCell="D13" activePane="bottomRight" state="frozen"/>
      <selection pane="topRight" activeCell="D1" sqref="D1"/>
      <selection pane="bottomLeft" activeCell="A8" sqref="A8"/>
      <selection pane="bottomRight" activeCell="R19" sqref="R19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13 DE MARZO AL 19 DE MARZO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46094</v>
      </c>
      <c r="D5" s="63" t="str">
        <f>CONCATENATE("Lunes ",TEXT(DAY(C5),"00"))</f>
        <v>Lunes 13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14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15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16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17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18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19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34</v>
      </c>
      <c r="E6" s="9" t="s">
        <v>33</v>
      </c>
      <c r="F6" s="10" t="s">
        <v>31</v>
      </c>
      <c r="G6" s="11" t="s">
        <v>21</v>
      </c>
      <c r="H6" s="12" t="s">
        <v>35</v>
      </c>
      <c r="I6" s="13"/>
      <c r="J6" s="10"/>
      <c r="K6" s="14"/>
      <c r="L6" s="11"/>
      <c r="M6" s="15"/>
      <c r="O6" s="8" t="str">
        <f>D6</f>
        <v>ALICIA</v>
      </c>
      <c r="P6" s="9" t="str">
        <f>E6</f>
        <v>ANAHY</v>
      </c>
      <c r="Q6" s="10" t="str">
        <f>F6</f>
        <v>MICHAEL</v>
      </c>
      <c r="R6" s="11" t="str">
        <f>G6</f>
        <v>LINDSAY</v>
      </c>
      <c r="S6" s="12" t="str">
        <f>H6</f>
        <v>SANDY</v>
      </c>
      <c r="T6" s="13"/>
      <c r="U6" s="10"/>
      <c r="V6" s="14"/>
      <c r="W6" s="11"/>
      <c r="X6" s="15"/>
      <c r="Z6" s="8" t="str">
        <f>O6</f>
        <v>ALICIA</v>
      </c>
      <c r="AA6" s="9" t="s">
        <v>33</v>
      </c>
      <c r="AB6" s="10" t="str">
        <f>Q6</f>
        <v>MICHAEL</v>
      </c>
      <c r="AC6" s="11" t="str">
        <f>R6</f>
        <v>LINDSAY</v>
      </c>
      <c r="AD6" s="12" t="str">
        <f>H6</f>
        <v>SANDY</v>
      </c>
      <c r="AE6" s="13"/>
      <c r="AF6" s="10"/>
      <c r="AG6" s="14"/>
      <c r="AH6" s="11"/>
      <c r="AI6" s="15"/>
      <c r="AK6" s="8" t="str">
        <f>Z6</f>
        <v>ALICIA</v>
      </c>
      <c r="AL6" s="9" t="str">
        <f>AA6</f>
        <v>ANAHY</v>
      </c>
      <c r="AM6" s="10" t="str">
        <f>Q6</f>
        <v>MICHAEL</v>
      </c>
      <c r="AN6" s="11" t="str">
        <f>AC6</f>
        <v>LINDSAY</v>
      </c>
      <c r="AO6" s="12" t="str">
        <f>H6</f>
        <v>SANDY</v>
      </c>
      <c r="AP6" s="13"/>
      <c r="AQ6" s="10"/>
      <c r="AR6" s="14"/>
      <c r="AS6" s="11"/>
      <c r="AT6" s="15"/>
      <c r="AV6" s="8" t="str">
        <f>AK6</f>
        <v>ALICIA</v>
      </c>
      <c r="AW6" s="9" t="s">
        <v>33</v>
      </c>
      <c r="AX6" s="10" t="str">
        <f>AB6</f>
        <v>MICHAEL</v>
      </c>
      <c r="AY6" s="11" t="str">
        <f>AN6</f>
        <v>LINDSAY</v>
      </c>
      <c r="AZ6" s="12" t="str">
        <f>H6</f>
        <v>SANDY</v>
      </c>
      <c r="BA6" s="13"/>
      <c r="BB6" s="10"/>
      <c r="BC6" s="14"/>
      <c r="BD6" s="11"/>
      <c r="BE6" s="15"/>
      <c r="BG6" s="8" t="str">
        <f>AV6</f>
        <v>ALICIA</v>
      </c>
      <c r="BH6" s="9" t="s">
        <v>33</v>
      </c>
      <c r="BI6" s="10" t="str">
        <f>AX6</f>
        <v>MICHAEL</v>
      </c>
      <c r="BJ6" s="11" t="str">
        <f>AC6</f>
        <v>LINDSAY</v>
      </c>
      <c r="BK6" s="12" t="str">
        <f>S6</f>
        <v>SANDY</v>
      </c>
      <c r="BL6" s="13"/>
      <c r="BM6" s="10"/>
      <c r="BN6" s="14"/>
      <c r="BO6" s="11"/>
      <c r="BP6" s="15"/>
      <c r="BR6" s="8" t="str">
        <f>AV6</f>
        <v>ALICIA</v>
      </c>
      <c r="BS6" s="9" t="str">
        <f>BH6</f>
        <v>ANAHY</v>
      </c>
      <c r="BT6" s="10" t="str">
        <f>AX6</f>
        <v>MICHAEL</v>
      </c>
      <c r="BU6" s="11" t="str">
        <f>BJ6</f>
        <v>LINDSAY</v>
      </c>
      <c r="BV6" s="12" t="s">
        <v>35</v>
      </c>
      <c r="BW6" s="13"/>
      <c r="BX6" s="10"/>
      <c r="BY6" s="14" t="s">
        <v>30</v>
      </c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/>
      <c r="BB14" s="18"/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/>
      <c r="H15" s="69"/>
      <c r="I15" s="70"/>
      <c r="J15" s="67"/>
      <c r="K15" s="71"/>
      <c r="L15" s="68"/>
      <c r="M15" s="72"/>
      <c r="N15" s="73"/>
      <c r="O15" s="65">
        <v>0.5</v>
      </c>
      <c r="P15" s="66">
        <v>0.5</v>
      </c>
      <c r="Q15" s="67">
        <v>0.5</v>
      </c>
      <c r="R15" s="68">
        <v>0.5</v>
      </c>
      <c r="S15" s="69">
        <v>0.5</v>
      </c>
      <c r="T15" s="70"/>
      <c r="U15" s="67"/>
      <c r="V15" s="71"/>
      <c r="W15" s="68"/>
      <c r="X15" s="72"/>
      <c r="Y15" s="73"/>
      <c r="Z15" s="65"/>
      <c r="AA15" s="66"/>
      <c r="AB15" s="67"/>
      <c r="AC15" s="68"/>
      <c r="AD15" s="69"/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/>
      <c r="BI15" s="67"/>
      <c r="BJ15" s="68"/>
      <c r="BK15" s="69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>
        <v>0.5</v>
      </c>
      <c r="E16" s="66">
        <v>0.5</v>
      </c>
      <c r="F16" s="67">
        <v>0.5</v>
      </c>
      <c r="G16" s="68">
        <v>0.5</v>
      </c>
      <c r="H16" s="69">
        <v>0.5</v>
      </c>
      <c r="I16" s="70"/>
      <c r="J16" s="67"/>
      <c r="K16" s="71"/>
      <c r="L16" s="68"/>
      <c r="M16" s="72"/>
      <c r="N16" s="73"/>
      <c r="O16" s="65">
        <v>1</v>
      </c>
      <c r="P16" s="66">
        <v>1</v>
      </c>
      <c r="Q16" s="67">
        <v>1</v>
      </c>
      <c r="R16" s="68">
        <v>1</v>
      </c>
      <c r="S16" s="69">
        <v>1</v>
      </c>
      <c r="T16" s="70"/>
      <c r="U16" s="67"/>
      <c r="V16" s="71"/>
      <c r="W16" s="68"/>
      <c r="X16" s="72"/>
      <c r="Y16" s="73"/>
      <c r="Z16" s="65"/>
      <c r="AA16" s="66"/>
      <c r="AB16" s="67"/>
      <c r="AC16" s="68"/>
      <c r="AD16" s="69"/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6"/>
      <c r="BI16" s="67"/>
      <c r="BJ16" s="68"/>
      <c r="BK16" s="69"/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>
        <v>1</v>
      </c>
      <c r="E17" s="66">
        <v>1</v>
      </c>
      <c r="F17" s="67">
        <v>1</v>
      </c>
      <c r="G17" s="68">
        <v>1</v>
      </c>
      <c r="H17" s="69">
        <v>1</v>
      </c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/>
      <c r="S17" s="69"/>
      <c r="T17" s="70"/>
      <c r="U17" s="67"/>
      <c r="V17" s="71"/>
      <c r="W17" s="68"/>
      <c r="X17" s="72"/>
      <c r="Y17" s="73"/>
      <c r="Z17" s="65"/>
      <c r="AA17" s="66"/>
      <c r="AB17" s="67"/>
      <c r="AC17" s="68">
        <v>1</v>
      </c>
      <c r="AD17" s="69"/>
      <c r="AE17" s="70"/>
      <c r="AF17" s="67"/>
      <c r="AG17" s="71"/>
      <c r="AH17" s="68"/>
      <c r="AI17" s="72"/>
      <c r="AJ17" s="73"/>
      <c r="AK17" s="65"/>
      <c r="AL17" s="66"/>
      <c r="AM17" s="67"/>
      <c r="AN17" s="68"/>
      <c r="AO17" s="69">
        <v>1</v>
      </c>
      <c r="AP17" s="70"/>
      <c r="AQ17" s="67"/>
      <c r="AR17" s="71"/>
      <c r="AS17" s="68"/>
      <c r="AT17" s="72"/>
      <c r="AU17" s="73"/>
      <c r="AV17" s="65"/>
      <c r="AW17" s="66">
        <v>1</v>
      </c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>
        <v>1</v>
      </c>
      <c r="BI17" s="67"/>
      <c r="BJ17" s="68"/>
      <c r="BK17" s="69"/>
      <c r="BL17" s="70"/>
      <c r="BM17" s="67"/>
      <c r="BN17" s="71"/>
      <c r="BO17" s="68"/>
      <c r="BP17" s="72"/>
      <c r="BQ17" s="73"/>
      <c r="BR17" s="65"/>
      <c r="BS17" s="66"/>
      <c r="BT17" s="67"/>
      <c r="BU17" s="68">
        <v>1</v>
      </c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>
        <v>1</v>
      </c>
      <c r="E18" s="66"/>
      <c r="F18" s="67"/>
      <c r="G18" s="68"/>
      <c r="H18" s="69"/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/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>
        <v>1</v>
      </c>
      <c r="AD18" s="69"/>
      <c r="AE18" s="70"/>
      <c r="AF18" s="67"/>
      <c r="AG18" s="71"/>
      <c r="AH18" s="68"/>
      <c r="AI18" s="72"/>
      <c r="AJ18" s="73"/>
      <c r="AK18" s="65"/>
      <c r="AL18" s="66"/>
      <c r="AM18" s="67"/>
      <c r="AN18" s="68"/>
      <c r="AO18" s="69">
        <v>1</v>
      </c>
      <c r="AP18" s="70"/>
      <c r="AQ18" s="67"/>
      <c r="AR18" s="71"/>
      <c r="AS18" s="68"/>
      <c r="AT18" s="72"/>
      <c r="AU18" s="73"/>
      <c r="AV18" s="65"/>
      <c r="AW18" s="66">
        <v>1</v>
      </c>
      <c r="AX18" s="67"/>
      <c r="AY18" s="68"/>
      <c r="AZ18" s="69"/>
      <c r="BA18" s="70"/>
      <c r="BB18" s="67"/>
      <c r="BC18" s="71"/>
      <c r="BD18" s="68"/>
      <c r="BE18" s="72"/>
      <c r="BF18" s="73"/>
      <c r="BG18" s="65"/>
      <c r="BH18" s="66">
        <v>1</v>
      </c>
      <c r="BI18" s="67"/>
      <c r="BJ18" s="68">
        <v>0.5</v>
      </c>
      <c r="BK18" s="69"/>
      <c r="BL18" s="70"/>
      <c r="BM18" s="67"/>
      <c r="BN18" s="71"/>
      <c r="BO18" s="68"/>
      <c r="BP18" s="72"/>
      <c r="BQ18" s="73"/>
      <c r="BR18" s="65"/>
      <c r="BS18" s="66"/>
      <c r="BT18" s="67">
        <v>1</v>
      </c>
      <c r="BU18" s="68">
        <v>1</v>
      </c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>
        <v>1</v>
      </c>
      <c r="E19" s="66"/>
      <c r="F19" s="67"/>
      <c r="G19" s="68"/>
      <c r="H19" s="69"/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>
        <v>1</v>
      </c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>
        <v>1</v>
      </c>
      <c r="AD19" s="69"/>
      <c r="AE19" s="70"/>
      <c r="AF19" s="67"/>
      <c r="AG19" s="71"/>
      <c r="AH19" s="68"/>
      <c r="AI19" s="72"/>
      <c r="AJ19" s="73"/>
      <c r="AK19" s="65"/>
      <c r="AL19" s="66"/>
      <c r="AM19" s="67"/>
      <c r="AN19" s="68"/>
      <c r="AO19" s="69">
        <v>1</v>
      </c>
      <c r="AP19" s="70"/>
      <c r="AQ19" s="67"/>
      <c r="AR19" s="71"/>
      <c r="AS19" s="68"/>
      <c r="AT19" s="72"/>
      <c r="AU19" s="73"/>
      <c r="AV19" s="65"/>
      <c r="AW19" s="66">
        <v>1</v>
      </c>
      <c r="AX19" s="67"/>
      <c r="AY19" s="68"/>
      <c r="AZ19" s="69"/>
      <c r="BA19" s="70"/>
      <c r="BB19" s="67"/>
      <c r="BC19" s="71"/>
      <c r="BD19" s="68"/>
      <c r="BE19" s="72"/>
      <c r="BF19" s="73"/>
      <c r="BG19" s="65"/>
      <c r="BH19" s="66">
        <v>1</v>
      </c>
      <c r="BI19" s="67"/>
      <c r="BJ19" s="68">
        <v>1</v>
      </c>
      <c r="BK19" s="69"/>
      <c r="BL19" s="70"/>
      <c r="BM19" s="67"/>
      <c r="BN19" s="71"/>
      <c r="BO19" s="68"/>
      <c r="BP19" s="72"/>
      <c r="BQ19" s="73"/>
      <c r="BR19" s="65"/>
      <c r="BS19" s="66"/>
      <c r="BT19" s="67">
        <v>1</v>
      </c>
      <c r="BU19" s="68">
        <v>1</v>
      </c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>
        <v>1</v>
      </c>
      <c r="E20" s="66"/>
      <c r="F20" s="67"/>
      <c r="G20" s="68"/>
      <c r="H20" s="69">
        <v>0.5</v>
      </c>
      <c r="I20" s="70"/>
      <c r="J20" s="67"/>
      <c r="K20" s="71"/>
      <c r="L20" s="68"/>
      <c r="M20" s="72"/>
      <c r="N20" s="74"/>
      <c r="O20" s="65"/>
      <c r="P20" s="66">
        <v>1</v>
      </c>
      <c r="Q20" s="67"/>
      <c r="R20" s="68"/>
      <c r="S20" s="69"/>
      <c r="T20" s="70"/>
      <c r="U20" s="67"/>
      <c r="V20" s="71"/>
      <c r="W20" s="68"/>
      <c r="X20" s="72"/>
      <c r="Y20" s="74"/>
      <c r="Z20" s="65"/>
      <c r="AA20" s="66"/>
      <c r="AB20" s="67"/>
      <c r="AC20" s="68">
        <v>1</v>
      </c>
      <c r="AD20" s="69"/>
      <c r="AE20" s="70"/>
      <c r="AF20" s="67"/>
      <c r="AG20" s="71"/>
      <c r="AH20" s="68"/>
      <c r="AI20" s="72"/>
      <c r="AJ20" s="74"/>
      <c r="AK20" s="65"/>
      <c r="AL20" s="66"/>
      <c r="AM20" s="67"/>
      <c r="AN20" s="68">
        <v>1</v>
      </c>
      <c r="AO20" s="69"/>
      <c r="AP20" s="70"/>
      <c r="AQ20" s="67"/>
      <c r="AR20" s="71"/>
      <c r="AS20" s="68"/>
      <c r="AT20" s="72"/>
      <c r="AU20" s="74"/>
      <c r="AV20" s="65"/>
      <c r="AW20" s="66">
        <v>1</v>
      </c>
      <c r="AX20" s="67"/>
      <c r="AY20" s="68">
        <v>1</v>
      </c>
      <c r="AZ20" s="69"/>
      <c r="BA20" s="70"/>
      <c r="BB20" s="67"/>
      <c r="BC20" s="71"/>
      <c r="BD20" s="68"/>
      <c r="BE20" s="72"/>
      <c r="BF20" s="74"/>
      <c r="BG20" s="65"/>
      <c r="BH20" s="66"/>
      <c r="BI20" s="67"/>
      <c r="BJ20" s="68">
        <v>1</v>
      </c>
      <c r="BK20" s="69"/>
      <c r="BL20" s="70"/>
      <c r="BM20" s="67"/>
      <c r="BN20" s="71"/>
      <c r="BO20" s="68"/>
      <c r="BP20" s="72"/>
      <c r="BQ20" s="74"/>
      <c r="BR20" s="65"/>
      <c r="BS20" s="66"/>
      <c r="BT20" s="67">
        <v>1</v>
      </c>
      <c r="BU20" s="68"/>
      <c r="BV20" s="69"/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/>
      <c r="F21" s="67"/>
      <c r="G21" s="68"/>
      <c r="H21" s="69"/>
      <c r="I21" s="70"/>
      <c r="J21" s="67"/>
      <c r="K21" s="71"/>
      <c r="L21" s="68"/>
      <c r="M21" s="72"/>
      <c r="N21" s="73"/>
      <c r="O21" s="65"/>
      <c r="P21" s="66"/>
      <c r="Q21" s="67"/>
      <c r="R21" s="68">
        <v>1</v>
      </c>
      <c r="S21" s="69"/>
      <c r="T21" s="70"/>
      <c r="U21" s="67"/>
      <c r="V21" s="71"/>
      <c r="W21" s="68"/>
      <c r="X21" s="72"/>
      <c r="Y21" s="73"/>
      <c r="Z21" s="65"/>
      <c r="AA21" s="66"/>
      <c r="AB21" s="67"/>
      <c r="AC21" s="68">
        <v>0.5</v>
      </c>
      <c r="AD21" s="69"/>
      <c r="AE21" s="70"/>
      <c r="AF21" s="67"/>
      <c r="AG21" s="71"/>
      <c r="AH21" s="68"/>
      <c r="AI21" s="72"/>
      <c r="AJ21" s="73"/>
      <c r="AK21" s="65"/>
      <c r="AL21" s="66"/>
      <c r="AM21" s="67"/>
      <c r="AN21" s="68"/>
      <c r="AO21" s="69">
        <v>1</v>
      </c>
      <c r="AP21" s="70"/>
      <c r="AQ21" s="67"/>
      <c r="AR21" s="71"/>
      <c r="AS21" s="68"/>
      <c r="AT21" s="72"/>
      <c r="AU21" s="73"/>
      <c r="AV21" s="65"/>
      <c r="AW21" s="66"/>
      <c r="AX21" s="67"/>
      <c r="AY21" s="68"/>
      <c r="AZ21" s="69">
        <v>1</v>
      </c>
      <c r="BA21" s="70"/>
      <c r="BB21" s="67"/>
      <c r="BC21" s="71"/>
      <c r="BD21" s="68"/>
      <c r="BE21" s="72"/>
      <c r="BF21" s="73"/>
      <c r="BG21" s="65"/>
      <c r="BH21" s="66">
        <v>1</v>
      </c>
      <c r="BI21" s="67"/>
      <c r="BJ21" s="68"/>
      <c r="BK21" s="69">
        <v>1</v>
      </c>
      <c r="BL21" s="70"/>
      <c r="BM21" s="67"/>
      <c r="BN21" s="71"/>
      <c r="BO21" s="68"/>
      <c r="BP21" s="72"/>
      <c r="BQ21" s="73"/>
      <c r="BR21" s="65"/>
      <c r="BS21" s="66"/>
      <c r="BT21" s="67">
        <v>1</v>
      </c>
      <c r="BU21" s="68">
        <v>1</v>
      </c>
      <c r="BV21" s="69"/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/>
      <c r="G22" s="68"/>
      <c r="H22" s="69">
        <v>1</v>
      </c>
      <c r="I22" s="70"/>
      <c r="J22" s="67"/>
      <c r="K22" s="71"/>
      <c r="L22" s="68"/>
      <c r="M22" s="72"/>
      <c r="N22" s="73"/>
      <c r="O22" s="65"/>
      <c r="P22" s="66"/>
      <c r="Q22" s="67"/>
      <c r="R22" s="68">
        <v>1</v>
      </c>
      <c r="S22" s="69"/>
      <c r="T22" s="70"/>
      <c r="U22" s="67"/>
      <c r="V22" s="71"/>
      <c r="W22" s="68"/>
      <c r="X22" s="72"/>
      <c r="Y22" s="73"/>
      <c r="Z22" s="65"/>
      <c r="AA22" s="66"/>
      <c r="AB22" s="67"/>
      <c r="AC22" s="68"/>
      <c r="AD22" s="69">
        <v>1</v>
      </c>
      <c r="AE22" s="70"/>
      <c r="AF22" s="67"/>
      <c r="AG22" s="71"/>
      <c r="AH22" s="68"/>
      <c r="AI22" s="72"/>
      <c r="AJ22" s="73"/>
      <c r="AK22" s="65"/>
      <c r="AL22" s="66"/>
      <c r="AM22" s="67"/>
      <c r="AN22" s="68">
        <v>1</v>
      </c>
      <c r="AO22" s="69">
        <v>1</v>
      </c>
      <c r="AP22" s="70"/>
      <c r="AQ22" s="67"/>
      <c r="AR22" s="71"/>
      <c r="AS22" s="68"/>
      <c r="AT22" s="72"/>
      <c r="AU22" s="73"/>
      <c r="AV22" s="65"/>
      <c r="AW22" s="66"/>
      <c r="AX22" s="67"/>
      <c r="AY22" s="68">
        <v>1</v>
      </c>
      <c r="AZ22" s="69"/>
      <c r="BA22" s="70"/>
      <c r="BB22" s="67"/>
      <c r="BC22" s="71"/>
      <c r="BD22" s="68"/>
      <c r="BE22" s="72"/>
      <c r="BF22" s="73"/>
      <c r="BG22" s="65"/>
      <c r="BH22" s="66"/>
      <c r="BI22" s="67"/>
      <c r="BJ22" s="68">
        <v>1</v>
      </c>
      <c r="BK22" s="69"/>
      <c r="BL22" s="70"/>
      <c r="BM22" s="67"/>
      <c r="BN22" s="71"/>
      <c r="BO22" s="68"/>
      <c r="BP22" s="72"/>
      <c r="BQ22" s="73"/>
      <c r="BR22" s="65"/>
      <c r="BS22" s="66"/>
      <c r="BT22" s="67"/>
      <c r="BU22" s="68">
        <v>1</v>
      </c>
      <c r="BV22" s="69">
        <v>1</v>
      </c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/>
      <c r="E23" s="66"/>
      <c r="F23" s="67"/>
      <c r="G23" s="68"/>
      <c r="H23" s="69">
        <v>1</v>
      </c>
      <c r="I23" s="70"/>
      <c r="J23" s="67"/>
      <c r="K23" s="71"/>
      <c r="L23" s="68"/>
      <c r="M23" s="72"/>
      <c r="N23" s="73"/>
      <c r="O23" s="65"/>
      <c r="P23" s="66"/>
      <c r="Q23" s="67"/>
      <c r="R23" s="68">
        <v>1</v>
      </c>
      <c r="S23" s="69"/>
      <c r="T23" s="70"/>
      <c r="U23" s="67"/>
      <c r="V23" s="71"/>
      <c r="W23" s="68"/>
      <c r="X23" s="72"/>
      <c r="Y23" s="73"/>
      <c r="Z23" s="65"/>
      <c r="AA23" s="66"/>
      <c r="AB23" s="67"/>
      <c r="AC23" s="68"/>
      <c r="AD23" s="69">
        <v>1</v>
      </c>
      <c r="AE23" s="70"/>
      <c r="AF23" s="67"/>
      <c r="AG23" s="71"/>
      <c r="AH23" s="68"/>
      <c r="AI23" s="72"/>
      <c r="AJ23" s="73"/>
      <c r="AK23" s="65"/>
      <c r="AL23" s="66"/>
      <c r="AM23" s="67"/>
      <c r="AN23" s="68">
        <v>1</v>
      </c>
      <c r="AO23" s="69">
        <v>1</v>
      </c>
      <c r="AP23" s="70"/>
      <c r="AQ23" s="67"/>
      <c r="AR23" s="71"/>
      <c r="AS23" s="68"/>
      <c r="AT23" s="72"/>
      <c r="AU23" s="73"/>
      <c r="AV23" s="65"/>
      <c r="AW23" s="66"/>
      <c r="AX23" s="67"/>
      <c r="AY23" s="68">
        <v>1</v>
      </c>
      <c r="AZ23" s="69">
        <v>1</v>
      </c>
      <c r="BA23" s="70"/>
      <c r="BB23" s="67"/>
      <c r="BC23" s="71"/>
      <c r="BD23" s="68"/>
      <c r="BE23" s="72"/>
      <c r="BF23" s="73"/>
      <c r="BG23" s="65"/>
      <c r="BH23" s="66"/>
      <c r="BI23" s="67"/>
      <c r="BJ23" s="68">
        <v>1</v>
      </c>
      <c r="BK23" s="69">
        <v>1</v>
      </c>
      <c r="BL23" s="70"/>
      <c r="BM23" s="67"/>
      <c r="BN23" s="71"/>
      <c r="BO23" s="68"/>
      <c r="BP23" s="72"/>
      <c r="BQ23" s="73"/>
      <c r="BR23" s="65"/>
      <c r="BS23" s="66"/>
      <c r="BT23" s="67"/>
      <c r="BU23" s="68">
        <v>1</v>
      </c>
      <c r="BV23" s="69">
        <v>1</v>
      </c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/>
      <c r="E24" s="66"/>
      <c r="F24" s="67"/>
      <c r="G24" s="68"/>
      <c r="H24" s="69">
        <v>1</v>
      </c>
      <c r="I24" s="70"/>
      <c r="J24" s="67"/>
      <c r="K24" s="71"/>
      <c r="L24" s="68"/>
      <c r="M24" s="72"/>
      <c r="N24" s="73"/>
      <c r="O24" s="65"/>
      <c r="P24" s="66"/>
      <c r="Q24" s="67"/>
      <c r="R24" s="68">
        <v>1</v>
      </c>
      <c r="S24" s="69"/>
      <c r="T24" s="70"/>
      <c r="U24" s="67"/>
      <c r="V24" s="71"/>
      <c r="W24" s="68"/>
      <c r="X24" s="72"/>
      <c r="Y24" s="73"/>
      <c r="Z24" s="65"/>
      <c r="AA24" s="66"/>
      <c r="AB24" s="67"/>
      <c r="AC24" s="68"/>
      <c r="AD24" s="69">
        <v>1</v>
      </c>
      <c r="AE24" s="70"/>
      <c r="AF24" s="67"/>
      <c r="AG24" s="71"/>
      <c r="AH24" s="68"/>
      <c r="AI24" s="72"/>
      <c r="AJ24" s="73"/>
      <c r="AK24" s="65"/>
      <c r="AL24" s="66"/>
      <c r="AM24" s="67"/>
      <c r="AN24" s="68">
        <v>1</v>
      </c>
      <c r="AO24" s="69">
        <v>1</v>
      </c>
      <c r="AP24" s="70"/>
      <c r="AQ24" s="67"/>
      <c r="AR24" s="71"/>
      <c r="AS24" s="68"/>
      <c r="AT24" s="72"/>
      <c r="AU24" s="73"/>
      <c r="AV24" s="65"/>
      <c r="AW24" s="66"/>
      <c r="AX24" s="67">
        <v>1</v>
      </c>
      <c r="AY24" s="68">
        <v>1</v>
      </c>
      <c r="AZ24" s="69">
        <v>1</v>
      </c>
      <c r="BA24" s="70"/>
      <c r="BB24" s="67"/>
      <c r="BC24" s="71"/>
      <c r="BD24" s="68"/>
      <c r="BE24" s="72"/>
      <c r="BF24" s="73"/>
      <c r="BG24" s="65"/>
      <c r="BH24" s="66"/>
      <c r="BI24" s="67">
        <v>0.5</v>
      </c>
      <c r="BJ24" s="68">
        <v>1</v>
      </c>
      <c r="BK24" s="69">
        <v>1</v>
      </c>
      <c r="BL24" s="70"/>
      <c r="BM24" s="67"/>
      <c r="BN24" s="71"/>
      <c r="BO24" s="68"/>
      <c r="BP24" s="72"/>
      <c r="BQ24" s="73"/>
      <c r="BR24" s="65"/>
      <c r="BS24" s="66">
        <v>0.5</v>
      </c>
      <c r="BT24" s="67"/>
      <c r="BU24" s="68"/>
      <c r="BV24" s="69">
        <v>1</v>
      </c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/>
      <c r="E25" s="66">
        <v>1</v>
      </c>
      <c r="F25" s="67"/>
      <c r="G25" s="68"/>
      <c r="H25" s="69">
        <v>1</v>
      </c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>
        <v>1</v>
      </c>
      <c r="S25" s="69"/>
      <c r="T25" s="70"/>
      <c r="U25" s="67"/>
      <c r="V25" s="71"/>
      <c r="W25" s="68"/>
      <c r="X25" s="72"/>
      <c r="Y25" s="73"/>
      <c r="Z25" s="65"/>
      <c r="AA25" s="66"/>
      <c r="AB25" s="67">
        <v>1</v>
      </c>
      <c r="AC25" s="68"/>
      <c r="AD25" s="69">
        <v>1</v>
      </c>
      <c r="AE25" s="70"/>
      <c r="AF25" s="67"/>
      <c r="AG25" s="71"/>
      <c r="AH25" s="68"/>
      <c r="AI25" s="72"/>
      <c r="AJ25" s="73"/>
      <c r="AK25" s="65"/>
      <c r="AL25" s="66"/>
      <c r="AM25" s="67"/>
      <c r="AN25" s="68">
        <v>1</v>
      </c>
      <c r="AO25" s="69">
        <v>1</v>
      </c>
      <c r="AP25" s="70"/>
      <c r="AQ25" s="67"/>
      <c r="AR25" s="71"/>
      <c r="AS25" s="68"/>
      <c r="AT25" s="72"/>
      <c r="AU25" s="73"/>
      <c r="AV25" s="65"/>
      <c r="AW25" s="66"/>
      <c r="AX25" s="67">
        <v>1</v>
      </c>
      <c r="AY25" s="68">
        <v>1</v>
      </c>
      <c r="AZ25" s="69">
        <v>1</v>
      </c>
      <c r="BA25" s="70"/>
      <c r="BB25" s="67"/>
      <c r="BC25" s="71"/>
      <c r="BD25" s="68"/>
      <c r="BE25" s="72"/>
      <c r="BF25" s="73"/>
      <c r="BG25" s="65"/>
      <c r="BH25" s="66"/>
      <c r="BI25" s="67">
        <v>1</v>
      </c>
      <c r="BJ25" s="68">
        <v>1</v>
      </c>
      <c r="BK25" s="69">
        <v>1</v>
      </c>
      <c r="BL25" s="70"/>
      <c r="BM25" s="67"/>
      <c r="BN25" s="71"/>
      <c r="BO25" s="68"/>
      <c r="BP25" s="72"/>
      <c r="BQ25" s="73"/>
      <c r="BR25" s="65"/>
      <c r="BS25" s="66">
        <v>1</v>
      </c>
      <c r="BT25" s="67"/>
      <c r="BU25" s="68"/>
      <c r="BV25" s="69">
        <v>1</v>
      </c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/>
      <c r="E26" s="66">
        <v>1</v>
      </c>
      <c r="F26" s="67"/>
      <c r="G26" s="68"/>
      <c r="H26" s="69">
        <v>1</v>
      </c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>
        <v>1</v>
      </c>
      <c r="S26" s="69"/>
      <c r="T26" s="70"/>
      <c r="U26" s="67"/>
      <c r="V26" s="71"/>
      <c r="W26" s="68"/>
      <c r="X26" s="72"/>
      <c r="Y26" s="73"/>
      <c r="Z26" s="65"/>
      <c r="AA26" s="66"/>
      <c r="AB26" s="67">
        <v>1</v>
      </c>
      <c r="AC26" s="68"/>
      <c r="AD26" s="69">
        <v>1</v>
      </c>
      <c r="AE26" s="70"/>
      <c r="AF26" s="67"/>
      <c r="AG26" s="71"/>
      <c r="AH26" s="68"/>
      <c r="AI26" s="72"/>
      <c r="AJ26" s="73"/>
      <c r="AK26" s="65"/>
      <c r="AL26" s="66"/>
      <c r="AM26" s="67"/>
      <c r="AN26" s="68">
        <v>1</v>
      </c>
      <c r="AO26" s="69">
        <v>1</v>
      </c>
      <c r="AP26" s="70"/>
      <c r="AQ26" s="67"/>
      <c r="AR26" s="71"/>
      <c r="AS26" s="68"/>
      <c r="AT26" s="72"/>
      <c r="AU26" s="73"/>
      <c r="AV26" s="65"/>
      <c r="AW26" s="66"/>
      <c r="AX26" s="67">
        <v>1</v>
      </c>
      <c r="AY26" s="68">
        <v>1</v>
      </c>
      <c r="AZ26" s="69">
        <v>1</v>
      </c>
      <c r="BA26" s="70"/>
      <c r="BB26" s="67"/>
      <c r="BC26" s="71"/>
      <c r="BD26" s="68"/>
      <c r="BE26" s="72"/>
      <c r="BF26" s="73"/>
      <c r="BG26" s="65"/>
      <c r="BH26" s="66"/>
      <c r="BI26" s="67">
        <v>1</v>
      </c>
      <c r="BJ26" s="68">
        <v>1</v>
      </c>
      <c r="BK26" s="69">
        <v>1</v>
      </c>
      <c r="BL26" s="70"/>
      <c r="BM26" s="67"/>
      <c r="BN26" s="71"/>
      <c r="BO26" s="68"/>
      <c r="BP26" s="72"/>
      <c r="BQ26" s="73"/>
      <c r="BR26" s="65"/>
      <c r="BS26" s="66">
        <v>1</v>
      </c>
      <c r="BT26" s="67"/>
      <c r="BU26" s="68"/>
      <c r="BV26" s="69">
        <v>1</v>
      </c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/>
      <c r="E27" s="66">
        <v>1</v>
      </c>
      <c r="F27" s="67"/>
      <c r="G27" s="68"/>
      <c r="H27" s="69">
        <v>1</v>
      </c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>
        <v>1</v>
      </c>
      <c r="S27" s="69"/>
      <c r="T27" s="70"/>
      <c r="U27" s="67"/>
      <c r="V27" s="71"/>
      <c r="W27" s="68"/>
      <c r="X27" s="72"/>
      <c r="Y27" s="73"/>
      <c r="Z27" s="65"/>
      <c r="AA27" s="66"/>
      <c r="AB27" s="67">
        <v>1</v>
      </c>
      <c r="AC27" s="68"/>
      <c r="AD27" s="69">
        <v>1</v>
      </c>
      <c r="AE27" s="70"/>
      <c r="AF27" s="67"/>
      <c r="AG27" s="71"/>
      <c r="AH27" s="68"/>
      <c r="AI27" s="72"/>
      <c r="AJ27" s="73"/>
      <c r="AK27" s="65"/>
      <c r="AL27" s="66"/>
      <c r="AM27" s="67"/>
      <c r="AN27" s="68">
        <v>1</v>
      </c>
      <c r="AO27" s="69">
        <v>1</v>
      </c>
      <c r="AP27" s="70"/>
      <c r="AQ27" s="67"/>
      <c r="AR27" s="71"/>
      <c r="AS27" s="68"/>
      <c r="AT27" s="72"/>
      <c r="AU27" s="73"/>
      <c r="AV27" s="65"/>
      <c r="AW27" s="66"/>
      <c r="AX27" s="67">
        <v>1</v>
      </c>
      <c r="AY27" s="68">
        <v>1</v>
      </c>
      <c r="AZ27" s="69">
        <v>1</v>
      </c>
      <c r="BA27" s="70"/>
      <c r="BB27" s="67"/>
      <c r="BC27" s="71"/>
      <c r="BD27" s="68"/>
      <c r="BE27" s="72"/>
      <c r="BF27" s="73"/>
      <c r="BG27" s="65"/>
      <c r="BH27" s="66"/>
      <c r="BI27" s="67">
        <v>1</v>
      </c>
      <c r="BJ27" s="68">
        <v>1</v>
      </c>
      <c r="BK27" s="69">
        <v>1</v>
      </c>
      <c r="BL27" s="70"/>
      <c r="BM27" s="67"/>
      <c r="BN27" s="71"/>
      <c r="BO27" s="68"/>
      <c r="BP27" s="72"/>
      <c r="BQ27" s="73"/>
      <c r="BR27" s="65"/>
      <c r="BS27" s="66">
        <v>1</v>
      </c>
      <c r="BT27" s="67"/>
      <c r="BU27" s="68"/>
      <c r="BV27" s="69">
        <v>1</v>
      </c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/>
      <c r="E28" s="66">
        <v>1</v>
      </c>
      <c r="F28" s="67"/>
      <c r="G28" s="68"/>
      <c r="H28" s="69">
        <v>1</v>
      </c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>
        <v>1</v>
      </c>
      <c r="S28" s="69"/>
      <c r="T28" s="70"/>
      <c r="U28" s="67"/>
      <c r="V28" s="71"/>
      <c r="W28" s="68"/>
      <c r="X28" s="72"/>
      <c r="Y28" s="73"/>
      <c r="Z28" s="65"/>
      <c r="AA28" s="66"/>
      <c r="AB28" s="67">
        <v>1</v>
      </c>
      <c r="AC28" s="68"/>
      <c r="AD28" s="69">
        <v>1</v>
      </c>
      <c r="AE28" s="70"/>
      <c r="AF28" s="67"/>
      <c r="AG28" s="71"/>
      <c r="AH28" s="68"/>
      <c r="AI28" s="72"/>
      <c r="AJ28" s="73"/>
      <c r="AK28" s="65"/>
      <c r="AL28" s="66"/>
      <c r="AM28" s="67"/>
      <c r="AN28" s="68">
        <v>1</v>
      </c>
      <c r="AO28" s="69">
        <v>1</v>
      </c>
      <c r="AP28" s="70"/>
      <c r="AQ28" s="67"/>
      <c r="AR28" s="71"/>
      <c r="AS28" s="68"/>
      <c r="AT28" s="72"/>
      <c r="AU28" s="73"/>
      <c r="AV28" s="65"/>
      <c r="AW28" s="66"/>
      <c r="AX28" s="67"/>
      <c r="AY28" s="68">
        <v>1</v>
      </c>
      <c r="AZ28" s="69">
        <v>1</v>
      </c>
      <c r="BA28" s="70"/>
      <c r="BB28" s="67"/>
      <c r="BC28" s="71"/>
      <c r="BD28" s="68"/>
      <c r="BE28" s="72"/>
      <c r="BF28" s="73"/>
      <c r="BG28" s="65"/>
      <c r="BH28" s="66"/>
      <c r="BI28" s="67">
        <v>1</v>
      </c>
      <c r="BJ28" s="68">
        <v>1</v>
      </c>
      <c r="BK28" s="69">
        <v>1</v>
      </c>
      <c r="BL28" s="70"/>
      <c r="BM28" s="67"/>
      <c r="BN28" s="71"/>
      <c r="BO28" s="68"/>
      <c r="BP28" s="72"/>
      <c r="BQ28" s="73"/>
      <c r="BR28" s="65"/>
      <c r="BS28" s="66">
        <v>1</v>
      </c>
      <c r="BT28" s="67"/>
      <c r="BU28" s="68"/>
      <c r="BV28" s="69">
        <v>1</v>
      </c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13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14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15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16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17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18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19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ALICIA</v>
      </c>
      <c r="E33" s="31" t="str">
        <f t="shared" si="0"/>
        <v>ANAHY</v>
      </c>
      <c r="F33" s="32" t="str">
        <f t="shared" si="0"/>
        <v>MICHAEL</v>
      </c>
      <c r="G33" s="33" t="str">
        <f t="shared" si="0"/>
        <v>LINDSAY</v>
      </c>
      <c r="H33" s="34" t="str">
        <f t="shared" si="0"/>
        <v>SANDY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ALICIA</v>
      </c>
      <c r="P33" s="31" t="str">
        <f t="shared" si="1"/>
        <v>ANAHY</v>
      </c>
      <c r="Q33" s="32" t="str">
        <f t="shared" si="1"/>
        <v>MICHAEL</v>
      </c>
      <c r="R33" s="33" t="str">
        <f t="shared" si="1"/>
        <v>LINDSAY</v>
      </c>
      <c r="S33" s="34" t="str">
        <f t="shared" si="1"/>
        <v>SANDY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ALICIA</v>
      </c>
      <c r="AA33" s="31" t="str">
        <f t="shared" si="2"/>
        <v>ANAHY</v>
      </c>
      <c r="AB33" s="32" t="str">
        <f t="shared" si="2"/>
        <v>MICHAEL</v>
      </c>
      <c r="AC33" s="33" t="str">
        <f t="shared" si="2"/>
        <v>LINDSAY</v>
      </c>
      <c r="AD33" s="34" t="str">
        <f t="shared" si="2"/>
        <v>SANDY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ALICIA</v>
      </c>
      <c r="AL33" s="31" t="str">
        <f t="shared" si="3"/>
        <v>ANAHY</v>
      </c>
      <c r="AM33" s="32" t="str">
        <f t="shared" si="3"/>
        <v>MICHAEL</v>
      </c>
      <c r="AN33" s="33" t="str">
        <f t="shared" si="3"/>
        <v>LINDSAY</v>
      </c>
      <c r="AO33" s="34" t="str">
        <f t="shared" si="3"/>
        <v>SANDY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ALICIA</v>
      </c>
      <c r="AW33" s="31" t="str">
        <f t="shared" si="4"/>
        <v>ANAHY</v>
      </c>
      <c r="AX33" s="32" t="str">
        <f t="shared" si="4"/>
        <v>MICHAEL</v>
      </c>
      <c r="AY33" s="33" t="str">
        <f t="shared" si="4"/>
        <v>LINDSAY</v>
      </c>
      <c r="AZ33" s="34" t="str">
        <f t="shared" si="4"/>
        <v>SANDY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ALICIA</v>
      </c>
      <c r="BH33" s="31" t="str">
        <f t="shared" si="5"/>
        <v>ANAHY</v>
      </c>
      <c r="BI33" s="32" t="str">
        <f t="shared" si="5"/>
        <v>MICHAEL</v>
      </c>
      <c r="BJ33" s="33" t="str">
        <f t="shared" si="5"/>
        <v>LINDSAY</v>
      </c>
      <c r="BK33" s="34" t="str">
        <f t="shared" si="5"/>
        <v>SANDY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ALICIA</v>
      </c>
      <c r="BS33" s="31" t="str">
        <f t="shared" si="6"/>
        <v>ANAHY</v>
      </c>
      <c r="BT33" s="32" t="str">
        <f t="shared" si="6"/>
        <v>MICHAEL</v>
      </c>
      <c r="BU33" s="33" t="str">
        <f t="shared" si="6"/>
        <v>LINDSAY</v>
      </c>
      <c r="BV33" s="34" t="str">
        <f t="shared" si="6"/>
        <v>SANDY</v>
      </c>
      <c r="BW33" s="35">
        <f t="shared" si="6"/>
        <v>0</v>
      </c>
      <c r="BX33" s="32">
        <f t="shared" si="6"/>
        <v>0</v>
      </c>
      <c r="BY33" s="36" t="str">
        <f t="shared" si="6"/>
        <v>BIANACA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4.5</v>
      </c>
      <c r="E34" s="48">
        <f t="shared" ref="E34:M34" si="7">SUM(E7:E30)</f>
        <v>5.5</v>
      </c>
      <c r="F34" s="49">
        <f t="shared" si="7"/>
        <v>1.5</v>
      </c>
      <c r="G34" s="50">
        <f t="shared" si="7"/>
        <v>1.5</v>
      </c>
      <c r="H34" s="51">
        <f t="shared" si="7"/>
        <v>9</v>
      </c>
      <c r="I34" s="52">
        <f t="shared" si="7"/>
        <v>0</v>
      </c>
      <c r="J34" s="49">
        <f t="shared" si="7"/>
        <v>0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1.5</v>
      </c>
      <c r="P34" s="48">
        <f t="shared" si="8"/>
        <v>5.5</v>
      </c>
      <c r="Q34" s="49">
        <f t="shared" si="8"/>
        <v>5.5</v>
      </c>
      <c r="R34" s="50">
        <f t="shared" si="8"/>
        <v>10.5</v>
      </c>
      <c r="S34" s="51">
        <f t="shared" si="8"/>
        <v>1.5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0</v>
      </c>
      <c r="AA34" s="48">
        <f t="shared" si="9"/>
        <v>0</v>
      </c>
      <c r="AB34" s="49">
        <f t="shared" si="9"/>
        <v>4</v>
      </c>
      <c r="AC34" s="50">
        <f t="shared" si="9"/>
        <v>4.5</v>
      </c>
      <c r="AD34" s="51">
        <f t="shared" si="9"/>
        <v>7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0</v>
      </c>
      <c r="AL34" s="48">
        <f t="shared" si="10"/>
        <v>0</v>
      </c>
      <c r="AM34" s="49">
        <f t="shared" si="10"/>
        <v>0</v>
      </c>
      <c r="AN34" s="50">
        <f t="shared" si="10"/>
        <v>8</v>
      </c>
      <c r="AO34" s="51">
        <f t="shared" si="10"/>
        <v>11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0</v>
      </c>
      <c r="AW34" s="48">
        <f t="shared" si="11"/>
        <v>4</v>
      </c>
      <c r="AX34" s="49">
        <f t="shared" si="11"/>
        <v>4</v>
      </c>
      <c r="AY34" s="50">
        <f t="shared" si="11"/>
        <v>8</v>
      </c>
      <c r="AZ34" s="51">
        <f t="shared" si="11"/>
        <v>7</v>
      </c>
      <c r="BA34" s="52">
        <f t="shared" si="11"/>
        <v>0</v>
      </c>
      <c r="BB34" s="49">
        <f t="shared" si="11"/>
        <v>0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0</v>
      </c>
      <c r="BH34" s="48">
        <f t="shared" si="12"/>
        <v>4</v>
      </c>
      <c r="BI34" s="49">
        <f t="shared" si="12"/>
        <v>4.5</v>
      </c>
      <c r="BJ34" s="50">
        <f t="shared" si="12"/>
        <v>9.5</v>
      </c>
      <c r="BK34" s="51">
        <f t="shared" si="12"/>
        <v>7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0</v>
      </c>
      <c r="BS34" s="48">
        <f t="shared" si="13"/>
        <v>4.5</v>
      </c>
      <c r="BT34" s="49">
        <f t="shared" si="13"/>
        <v>4</v>
      </c>
      <c r="BU34" s="50">
        <f t="shared" si="13"/>
        <v>6</v>
      </c>
      <c r="BV34" s="51">
        <f t="shared" si="13"/>
        <v>7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/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6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36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23.5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37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23.5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48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35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49.5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0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0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41:J41"/>
    <mergeCell ref="L41:N41"/>
    <mergeCell ref="B42:J42"/>
    <mergeCell ref="L42:N42"/>
    <mergeCell ref="B43:J43"/>
    <mergeCell ref="L43:N43"/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</mergeCells>
  <conditionalFormatting sqref="D7:M14 D29:M30">
    <cfRule type="expression" dxfId="300" priority="14">
      <formula>IF(OR(D7=0,D7=""),TRUE(),FALSE())</formula>
    </cfRule>
  </conditionalFormatting>
  <conditionalFormatting sqref="D15:M28">
    <cfRule type="expression" dxfId="299" priority="13">
      <formula>IF(OR(D15=0,D15=""),TRUE(),FALSE())</formula>
    </cfRule>
  </conditionalFormatting>
  <conditionalFormatting sqref="O7:X14 O29:X30">
    <cfRule type="expression" dxfId="298" priority="12">
      <formula>IF(OR(O7=0,O7=""),TRUE(),FALSE())</formula>
    </cfRule>
  </conditionalFormatting>
  <conditionalFormatting sqref="O15:X28">
    <cfRule type="expression" dxfId="297" priority="11">
      <formula>IF(OR(O15=0,O15=""),TRUE(),FALSE())</formula>
    </cfRule>
  </conditionalFormatting>
  <conditionalFormatting sqref="Z7:AI14 Z29:AI30">
    <cfRule type="expression" dxfId="296" priority="10">
      <formula>IF(OR(Z7=0,Z7=""),TRUE(),FALSE())</formula>
    </cfRule>
  </conditionalFormatting>
  <conditionalFormatting sqref="Z15:AI28">
    <cfRule type="expression" dxfId="295" priority="9">
      <formula>IF(OR(Z15=0,Z15=""),TRUE(),FALSE())</formula>
    </cfRule>
  </conditionalFormatting>
  <conditionalFormatting sqref="AK7:AT14 AK29:AT30">
    <cfRule type="expression" dxfId="294" priority="8">
      <formula>IF(OR(AK7=0,AK7=""),TRUE(),FALSE())</formula>
    </cfRule>
  </conditionalFormatting>
  <conditionalFormatting sqref="AK15:AT28">
    <cfRule type="expression" dxfId="293" priority="7">
      <formula>IF(OR(AK15=0,AK15=""),TRUE(),FALSE())</formula>
    </cfRule>
  </conditionalFormatting>
  <conditionalFormatting sqref="AV7:BE14 AV29:BE30">
    <cfRule type="expression" dxfId="292" priority="6">
      <formula>IF(OR(AV7=0,AV7=""),TRUE(),FALSE())</formula>
    </cfRule>
  </conditionalFormatting>
  <conditionalFormatting sqref="AV15:BE28">
    <cfRule type="expression" dxfId="291" priority="5">
      <formula>IF(OR(AV15=0,AV15=""),TRUE(),FALSE())</formula>
    </cfRule>
  </conditionalFormatting>
  <conditionalFormatting sqref="BG7:BP14 BG29:BP30">
    <cfRule type="expression" dxfId="290" priority="4">
      <formula>IF(OR(BG7=0,BG7=""),TRUE(),FALSE())</formula>
    </cfRule>
  </conditionalFormatting>
  <conditionalFormatting sqref="BG15:BP28">
    <cfRule type="expression" dxfId="289" priority="3">
      <formula>IF(OR(BG15=0,BG15=""),TRUE(),FALSE())</formula>
    </cfRule>
  </conditionalFormatting>
  <conditionalFormatting sqref="BR7:CA14 BR29:CA30">
    <cfRule type="expression" dxfId="288" priority="2">
      <formula>IF(OR(BR7=0,BR7=""),TRUE(),FALSE())</formula>
    </cfRule>
  </conditionalFormatting>
  <conditionalFormatting sqref="BR15:CA28">
    <cfRule type="expression" dxfId="287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77194F8A-473B-4471-89C5-94270CC145F4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20BB0-ED7E-4115-AF4A-2411BB6DB4D9}">
  <sheetPr codeName="Hoja8"/>
  <dimension ref="A1:CA48"/>
  <sheetViews>
    <sheetView showGridLines="0" zoomScale="55" zoomScaleNormal="55" workbookViewId="0">
      <pane xSplit="3" ySplit="6" topLeftCell="L7" activePane="bottomRight" state="frozen"/>
      <selection pane="topRight" activeCell="D1" sqref="D1"/>
      <selection pane="bottomLeft" activeCell="A8" sqref="A8"/>
      <selection pane="bottomRight" activeCell="R19" sqref="R19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20 DE MARZO AL 26 DE MARZO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46101</v>
      </c>
      <c r="D5" s="63" t="str">
        <f>CONCATENATE("Lunes ",TEXT(DAY(C5),"00"))</f>
        <v>Lunes 20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21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22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23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24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25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26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38</v>
      </c>
      <c r="E6" s="9" t="s">
        <v>33</v>
      </c>
      <c r="F6" s="10" t="s">
        <v>31</v>
      </c>
      <c r="G6" s="11" t="s">
        <v>21</v>
      </c>
      <c r="H6" s="12" t="s">
        <v>13</v>
      </c>
      <c r="I6" s="13"/>
      <c r="J6" s="10"/>
      <c r="K6" s="14"/>
      <c r="L6" s="11"/>
      <c r="M6" s="15"/>
      <c r="O6" s="8" t="str">
        <f>D6</f>
        <v>ALEXA</v>
      </c>
      <c r="P6" s="9" t="str">
        <f>E6</f>
        <v>ANAHY</v>
      </c>
      <c r="Q6" s="10" t="str">
        <f>F6</f>
        <v>MICHAEL</v>
      </c>
      <c r="R6" s="11" t="str">
        <f>G6</f>
        <v>LINDSAY</v>
      </c>
      <c r="S6" s="12" t="str">
        <f>H6</f>
        <v>MILA</v>
      </c>
      <c r="T6" s="13"/>
      <c r="U6" s="10"/>
      <c r="V6" s="14"/>
      <c r="W6" s="11"/>
      <c r="X6" s="15"/>
      <c r="Z6" s="8" t="str">
        <f>O6</f>
        <v>ALEXA</v>
      </c>
      <c r="AA6" s="9" t="s">
        <v>33</v>
      </c>
      <c r="AB6" s="10" t="str">
        <f>Q6</f>
        <v>MICHAEL</v>
      </c>
      <c r="AC6" s="11" t="str">
        <f>R6</f>
        <v>LINDSAY</v>
      </c>
      <c r="AD6" s="12" t="str">
        <f>H6</f>
        <v>MILA</v>
      </c>
      <c r="AE6" s="13"/>
      <c r="AF6" s="10"/>
      <c r="AG6" s="14"/>
      <c r="AH6" s="11"/>
      <c r="AI6" s="15"/>
      <c r="AK6" s="8" t="str">
        <f>Z6</f>
        <v>ALEXA</v>
      </c>
      <c r="AL6" s="9" t="str">
        <f>AA6</f>
        <v>ANAHY</v>
      </c>
      <c r="AM6" s="10" t="str">
        <f>Q6</f>
        <v>MICHAEL</v>
      </c>
      <c r="AN6" s="11" t="str">
        <f>AC6</f>
        <v>LINDSAY</v>
      </c>
      <c r="AO6" s="12" t="str">
        <f>H6</f>
        <v>MILA</v>
      </c>
      <c r="AP6" s="13"/>
      <c r="AQ6" s="10"/>
      <c r="AR6" s="14"/>
      <c r="AS6" s="11"/>
      <c r="AT6" s="15"/>
      <c r="AV6" s="8" t="str">
        <f>AK6</f>
        <v>ALEXA</v>
      </c>
      <c r="AW6" s="9" t="s">
        <v>33</v>
      </c>
      <c r="AX6" s="10" t="str">
        <f>AB6</f>
        <v>MICHAEL</v>
      </c>
      <c r="AY6" s="11" t="str">
        <f>AN6</f>
        <v>LINDSAY</v>
      </c>
      <c r="AZ6" s="12" t="str">
        <f>H6</f>
        <v>MILA</v>
      </c>
      <c r="BA6" s="13"/>
      <c r="BB6" s="10"/>
      <c r="BC6" s="14"/>
      <c r="BD6" s="11"/>
      <c r="BE6" s="15"/>
      <c r="BG6" s="8" t="str">
        <f>AV6</f>
        <v>ALEXA</v>
      </c>
      <c r="BH6" s="9" t="s">
        <v>33</v>
      </c>
      <c r="BI6" s="10" t="str">
        <f>AX6</f>
        <v>MICHAEL</v>
      </c>
      <c r="BJ6" s="11" t="str">
        <f>AC6</f>
        <v>LINDSAY</v>
      </c>
      <c r="BK6" s="12" t="str">
        <f>S6</f>
        <v>MILA</v>
      </c>
      <c r="BL6" s="13"/>
      <c r="BM6" s="10"/>
      <c r="BN6" s="14"/>
      <c r="BO6" s="11"/>
      <c r="BP6" s="15"/>
      <c r="BR6" s="8" t="str">
        <f>AV6</f>
        <v>ALEXA</v>
      </c>
      <c r="BS6" s="9" t="str">
        <f>BH6</f>
        <v>ANAHY</v>
      </c>
      <c r="BT6" s="10" t="str">
        <f>AX6</f>
        <v>MICHAEL</v>
      </c>
      <c r="BU6" s="11" t="str">
        <f>BJ6</f>
        <v>LINDSAY</v>
      </c>
      <c r="BV6" s="12" t="s">
        <v>13</v>
      </c>
      <c r="BW6" s="13"/>
      <c r="BX6" s="10"/>
      <c r="BY6" s="14" t="s">
        <v>30</v>
      </c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/>
      <c r="BB14" s="18"/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/>
      <c r="H15" s="69"/>
      <c r="I15" s="70"/>
      <c r="J15" s="67"/>
      <c r="K15" s="71"/>
      <c r="L15" s="68"/>
      <c r="M15" s="72"/>
      <c r="N15" s="73"/>
      <c r="O15" s="65"/>
      <c r="P15" s="66"/>
      <c r="Q15" s="67"/>
      <c r="R15" s="68"/>
      <c r="S15" s="69"/>
      <c r="T15" s="70"/>
      <c r="U15" s="67"/>
      <c r="V15" s="71"/>
      <c r="W15" s="68"/>
      <c r="X15" s="72"/>
      <c r="Y15" s="73"/>
      <c r="Z15" s="65"/>
      <c r="AA15" s="66"/>
      <c r="AB15" s="67"/>
      <c r="AC15" s="68">
        <v>0.5</v>
      </c>
      <c r="AD15" s="69">
        <v>0.5</v>
      </c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/>
      <c r="BI15" s="67"/>
      <c r="BJ15" s="68"/>
      <c r="BK15" s="69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/>
      <c r="F16" s="67"/>
      <c r="G16" s="68"/>
      <c r="H16" s="69"/>
      <c r="I16" s="70"/>
      <c r="J16" s="67"/>
      <c r="K16" s="71"/>
      <c r="L16" s="68"/>
      <c r="M16" s="72"/>
      <c r="N16" s="73"/>
      <c r="O16" s="65"/>
      <c r="P16" s="66"/>
      <c r="Q16" s="67"/>
      <c r="R16" s="68"/>
      <c r="S16" s="69"/>
      <c r="T16" s="70"/>
      <c r="U16" s="67"/>
      <c r="V16" s="71"/>
      <c r="W16" s="68"/>
      <c r="X16" s="72"/>
      <c r="Y16" s="73"/>
      <c r="Z16" s="65"/>
      <c r="AA16" s="66"/>
      <c r="AB16" s="67"/>
      <c r="AC16" s="68">
        <v>0.5</v>
      </c>
      <c r="AD16" s="69">
        <v>0.5</v>
      </c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6"/>
      <c r="BI16" s="67"/>
      <c r="BJ16" s="68"/>
      <c r="BK16" s="69"/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>
        <v>1</v>
      </c>
      <c r="F17" s="67"/>
      <c r="G17" s="68"/>
      <c r="H17" s="69"/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/>
      <c r="S17" s="69"/>
      <c r="T17" s="70"/>
      <c r="U17" s="67"/>
      <c r="V17" s="71"/>
      <c r="W17" s="68"/>
      <c r="X17" s="72"/>
      <c r="Y17" s="73"/>
      <c r="Z17" s="65"/>
      <c r="AA17" s="66"/>
      <c r="AB17" s="67"/>
      <c r="AC17" s="68">
        <v>1</v>
      </c>
      <c r="AD17" s="69"/>
      <c r="AE17" s="70"/>
      <c r="AF17" s="67"/>
      <c r="AG17" s="71"/>
      <c r="AH17" s="68"/>
      <c r="AI17" s="72"/>
      <c r="AJ17" s="73"/>
      <c r="AK17" s="65"/>
      <c r="AL17" s="66"/>
      <c r="AM17" s="67">
        <v>1</v>
      </c>
      <c r="AN17" s="68"/>
      <c r="AO17" s="69">
        <v>1</v>
      </c>
      <c r="AP17" s="70"/>
      <c r="AQ17" s="67"/>
      <c r="AR17" s="71"/>
      <c r="AS17" s="68"/>
      <c r="AT17" s="72"/>
      <c r="AU17" s="73"/>
      <c r="AV17" s="65"/>
      <c r="AW17" s="66">
        <v>1</v>
      </c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>
        <v>1</v>
      </c>
      <c r="BI17" s="67"/>
      <c r="BJ17" s="68"/>
      <c r="BK17" s="69">
        <v>1</v>
      </c>
      <c r="BL17" s="70"/>
      <c r="BM17" s="67"/>
      <c r="BN17" s="71"/>
      <c r="BO17" s="68"/>
      <c r="BP17" s="72"/>
      <c r="BQ17" s="73"/>
      <c r="BR17" s="65"/>
      <c r="BS17" s="66"/>
      <c r="BT17" s="67">
        <v>1</v>
      </c>
      <c r="BU17" s="68">
        <v>1</v>
      </c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>
        <v>1</v>
      </c>
      <c r="F18" s="67"/>
      <c r="G18" s="68"/>
      <c r="H18" s="69">
        <v>1</v>
      </c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/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>
        <v>1</v>
      </c>
      <c r="AD18" s="69"/>
      <c r="AE18" s="70"/>
      <c r="AF18" s="67"/>
      <c r="AG18" s="71"/>
      <c r="AH18" s="68"/>
      <c r="AI18" s="72"/>
      <c r="AJ18" s="73"/>
      <c r="AK18" s="65"/>
      <c r="AL18" s="66"/>
      <c r="AM18" s="67">
        <v>1</v>
      </c>
      <c r="AN18" s="68"/>
      <c r="AO18" s="69">
        <v>1</v>
      </c>
      <c r="AP18" s="70"/>
      <c r="AQ18" s="67"/>
      <c r="AR18" s="71"/>
      <c r="AS18" s="68"/>
      <c r="AT18" s="72"/>
      <c r="AU18" s="73"/>
      <c r="AV18" s="65"/>
      <c r="AW18" s="66">
        <v>1</v>
      </c>
      <c r="AX18" s="67"/>
      <c r="AY18" s="68">
        <v>1</v>
      </c>
      <c r="AZ18" s="69"/>
      <c r="BA18" s="70"/>
      <c r="BB18" s="67"/>
      <c r="BC18" s="71"/>
      <c r="BD18" s="68"/>
      <c r="BE18" s="72"/>
      <c r="BF18" s="73"/>
      <c r="BG18" s="65"/>
      <c r="BH18" s="66">
        <v>1</v>
      </c>
      <c r="BI18" s="67"/>
      <c r="BJ18" s="68">
        <v>0.5</v>
      </c>
      <c r="BK18" s="69">
        <v>1</v>
      </c>
      <c r="BL18" s="70"/>
      <c r="BM18" s="67"/>
      <c r="BN18" s="71"/>
      <c r="BO18" s="68"/>
      <c r="BP18" s="72"/>
      <c r="BQ18" s="73"/>
      <c r="BR18" s="65"/>
      <c r="BS18" s="66"/>
      <c r="BT18" s="67">
        <v>1</v>
      </c>
      <c r="BU18" s="68">
        <v>1</v>
      </c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>
        <v>1</v>
      </c>
      <c r="F19" s="67"/>
      <c r="G19" s="68"/>
      <c r="H19" s="69">
        <v>1</v>
      </c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>
        <v>1</v>
      </c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>
        <v>1</v>
      </c>
      <c r="AD19" s="69">
        <v>1</v>
      </c>
      <c r="AE19" s="70"/>
      <c r="AF19" s="67"/>
      <c r="AG19" s="71"/>
      <c r="AH19" s="68"/>
      <c r="AI19" s="72"/>
      <c r="AJ19" s="73"/>
      <c r="AK19" s="65"/>
      <c r="AL19" s="66"/>
      <c r="AM19" s="67"/>
      <c r="AN19" s="68"/>
      <c r="AO19" s="69">
        <v>1</v>
      </c>
      <c r="AP19" s="70"/>
      <c r="AQ19" s="67"/>
      <c r="AR19" s="71"/>
      <c r="AS19" s="68"/>
      <c r="AT19" s="72"/>
      <c r="AU19" s="73"/>
      <c r="AV19" s="65"/>
      <c r="AW19" s="66">
        <v>1</v>
      </c>
      <c r="AX19" s="67"/>
      <c r="AY19" s="68">
        <v>1</v>
      </c>
      <c r="AZ19" s="69"/>
      <c r="BA19" s="70"/>
      <c r="BB19" s="67"/>
      <c r="BC19" s="71"/>
      <c r="BD19" s="68"/>
      <c r="BE19" s="72"/>
      <c r="BF19" s="73"/>
      <c r="BG19" s="65"/>
      <c r="BH19" s="66">
        <v>1</v>
      </c>
      <c r="BI19" s="67"/>
      <c r="BJ19" s="68">
        <v>1</v>
      </c>
      <c r="BK19" s="69">
        <v>1</v>
      </c>
      <c r="BL19" s="70"/>
      <c r="BM19" s="67"/>
      <c r="BN19" s="71"/>
      <c r="BO19" s="68"/>
      <c r="BP19" s="72"/>
      <c r="BQ19" s="73"/>
      <c r="BR19" s="65"/>
      <c r="BS19" s="66"/>
      <c r="BT19" s="67">
        <v>1</v>
      </c>
      <c r="BU19" s="68">
        <v>1</v>
      </c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/>
      <c r="F20" s="67"/>
      <c r="G20" s="68"/>
      <c r="H20" s="69">
        <v>1</v>
      </c>
      <c r="I20" s="70"/>
      <c r="J20" s="67"/>
      <c r="K20" s="71"/>
      <c r="L20" s="68"/>
      <c r="M20" s="72"/>
      <c r="N20" s="74"/>
      <c r="O20" s="65"/>
      <c r="P20" s="66"/>
      <c r="Q20" s="67"/>
      <c r="R20" s="68">
        <v>1</v>
      </c>
      <c r="S20" s="69"/>
      <c r="T20" s="70"/>
      <c r="U20" s="67"/>
      <c r="V20" s="71"/>
      <c r="W20" s="68"/>
      <c r="X20" s="72"/>
      <c r="Y20" s="74"/>
      <c r="Z20" s="65"/>
      <c r="AA20" s="66"/>
      <c r="AB20" s="67"/>
      <c r="AC20" s="68">
        <v>1</v>
      </c>
      <c r="AD20" s="69"/>
      <c r="AE20" s="70"/>
      <c r="AF20" s="67"/>
      <c r="AG20" s="71"/>
      <c r="AH20" s="68"/>
      <c r="AI20" s="72"/>
      <c r="AJ20" s="74"/>
      <c r="AK20" s="65"/>
      <c r="AL20" s="66"/>
      <c r="AM20" s="67">
        <v>1</v>
      </c>
      <c r="AN20" s="68">
        <v>1</v>
      </c>
      <c r="AO20" s="69"/>
      <c r="AP20" s="70"/>
      <c r="AQ20" s="67"/>
      <c r="AR20" s="71"/>
      <c r="AS20" s="68"/>
      <c r="AT20" s="72"/>
      <c r="AU20" s="74"/>
      <c r="AV20" s="65"/>
      <c r="AW20" s="66"/>
      <c r="AX20" s="67"/>
      <c r="AY20" s="68">
        <v>1</v>
      </c>
      <c r="AZ20" s="69"/>
      <c r="BA20" s="70"/>
      <c r="BB20" s="67"/>
      <c r="BC20" s="71"/>
      <c r="BD20" s="68"/>
      <c r="BE20" s="72"/>
      <c r="BF20" s="74"/>
      <c r="BG20" s="65"/>
      <c r="BH20" s="66"/>
      <c r="BI20" s="67"/>
      <c r="BJ20" s="68">
        <v>1</v>
      </c>
      <c r="BK20" s="69"/>
      <c r="BL20" s="70"/>
      <c r="BM20" s="67"/>
      <c r="BN20" s="71"/>
      <c r="BO20" s="68"/>
      <c r="BP20" s="72"/>
      <c r="BQ20" s="74"/>
      <c r="BR20" s="65"/>
      <c r="BS20" s="66">
        <v>0.5</v>
      </c>
      <c r="BT20" s="67"/>
      <c r="BU20" s="68">
        <v>1</v>
      </c>
      <c r="BV20" s="69">
        <v>1</v>
      </c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>
        <v>1</v>
      </c>
      <c r="F21" s="67"/>
      <c r="G21" s="68"/>
      <c r="H21" s="69"/>
      <c r="I21" s="70"/>
      <c r="J21" s="67"/>
      <c r="K21" s="71"/>
      <c r="L21" s="68"/>
      <c r="M21" s="72"/>
      <c r="N21" s="73"/>
      <c r="O21" s="65"/>
      <c r="P21" s="66">
        <v>1</v>
      </c>
      <c r="Q21" s="67"/>
      <c r="R21" s="68"/>
      <c r="S21" s="69"/>
      <c r="T21" s="70"/>
      <c r="U21" s="67"/>
      <c r="V21" s="71"/>
      <c r="W21" s="68"/>
      <c r="X21" s="72"/>
      <c r="Y21" s="73"/>
      <c r="Z21" s="65"/>
      <c r="AA21" s="66"/>
      <c r="AB21" s="67"/>
      <c r="AC21" s="68">
        <v>0.5</v>
      </c>
      <c r="AD21" s="69">
        <v>1</v>
      </c>
      <c r="AE21" s="70"/>
      <c r="AF21" s="67"/>
      <c r="AG21" s="71"/>
      <c r="AH21" s="68"/>
      <c r="AI21" s="72"/>
      <c r="AJ21" s="73"/>
      <c r="AK21" s="65"/>
      <c r="AL21" s="66"/>
      <c r="AM21" s="67">
        <v>1</v>
      </c>
      <c r="AN21" s="68"/>
      <c r="AO21" s="69">
        <v>1</v>
      </c>
      <c r="AP21" s="70"/>
      <c r="AQ21" s="67"/>
      <c r="AR21" s="71"/>
      <c r="AS21" s="68"/>
      <c r="AT21" s="72"/>
      <c r="AU21" s="73"/>
      <c r="AV21" s="65"/>
      <c r="AW21" s="66">
        <v>1</v>
      </c>
      <c r="AX21" s="67"/>
      <c r="AY21" s="68"/>
      <c r="AZ21" s="69"/>
      <c r="BA21" s="70"/>
      <c r="BB21" s="67"/>
      <c r="BC21" s="71"/>
      <c r="BD21" s="68"/>
      <c r="BE21" s="72"/>
      <c r="BF21" s="73"/>
      <c r="BG21" s="65"/>
      <c r="BH21" s="66">
        <v>1</v>
      </c>
      <c r="BI21" s="67"/>
      <c r="BJ21" s="68"/>
      <c r="BK21" s="69">
        <v>1</v>
      </c>
      <c r="BL21" s="70"/>
      <c r="BM21" s="67"/>
      <c r="BN21" s="71"/>
      <c r="BO21" s="68"/>
      <c r="BP21" s="72"/>
      <c r="BQ21" s="73"/>
      <c r="BR21" s="65"/>
      <c r="BS21" s="66">
        <v>1</v>
      </c>
      <c r="BT21" s="67">
        <v>1</v>
      </c>
      <c r="BU21" s="68"/>
      <c r="BV21" s="69">
        <v>1</v>
      </c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/>
      <c r="G22" s="68"/>
      <c r="H22" s="69">
        <v>1</v>
      </c>
      <c r="I22" s="70"/>
      <c r="J22" s="67"/>
      <c r="K22" s="71"/>
      <c r="L22" s="68"/>
      <c r="M22" s="72"/>
      <c r="N22" s="73"/>
      <c r="O22" s="65"/>
      <c r="P22" s="66"/>
      <c r="Q22" s="67"/>
      <c r="R22" s="68">
        <v>1</v>
      </c>
      <c r="S22" s="69"/>
      <c r="T22" s="70"/>
      <c r="U22" s="67"/>
      <c r="V22" s="71"/>
      <c r="W22" s="68"/>
      <c r="X22" s="72"/>
      <c r="Y22" s="73"/>
      <c r="Z22" s="65"/>
      <c r="AA22" s="66"/>
      <c r="AB22" s="67"/>
      <c r="AC22" s="68"/>
      <c r="AD22" s="69">
        <v>1</v>
      </c>
      <c r="AE22" s="70"/>
      <c r="AF22" s="67"/>
      <c r="AG22" s="71"/>
      <c r="AH22" s="68"/>
      <c r="AI22" s="72"/>
      <c r="AJ22" s="73"/>
      <c r="AK22" s="65"/>
      <c r="AL22" s="66"/>
      <c r="AM22" s="67">
        <v>0.5</v>
      </c>
      <c r="AN22" s="68">
        <v>1</v>
      </c>
      <c r="AO22" s="69">
        <v>1</v>
      </c>
      <c r="AP22" s="70"/>
      <c r="AQ22" s="67"/>
      <c r="AR22" s="71"/>
      <c r="AS22" s="68"/>
      <c r="AT22" s="72"/>
      <c r="AU22" s="73"/>
      <c r="AV22" s="65"/>
      <c r="AW22" s="66"/>
      <c r="AX22" s="67"/>
      <c r="AY22" s="68">
        <v>1</v>
      </c>
      <c r="AZ22" s="69"/>
      <c r="BA22" s="70"/>
      <c r="BB22" s="67"/>
      <c r="BC22" s="71"/>
      <c r="BD22" s="68"/>
      <c r="BE22" s="72"/>
      <c r="BF22" s="73"/>
      <c r="BG22" s="65">
        <v>1</v>
      </c>
      <c r="BH22" s="66"/>
      <c r="BI22" s="67"/>
      <c r="BJ22" s="68">
        <v>1</v>
      </c>
      <c r="BK22" s="69">
        <v>1</v>
      </c>
      <c r="BL22" s="70"/>
      <c r="BM22" s="67"/>
      <c r="BN22" s="71"/>
      <c r="BO22" s="68"/>
      <c r="BP22" s="72"/>
      <c r="BQ22" s="73"/>
      <c r="BR22" s="65"/>
      <c r="BS22" s="66"/>
      <c r="BT22" s="67"/>
      <c r="BU22" s="68">
        <v>1</v>
      </c>
      <c r="BV22" s="69"/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>
        <v>1</v>
      </c>
      <c r="E23" s="66"/>
      <c r="F23" s="67"/>
      <c r="G23" s="68"/>
      <c r="H23" s="69">
        <v>1</v>
      </c>
      <c r="I23" s="70"/>
      <c r="J23" s="67"/>
      <c r="K23" s="71"/>
      <c r="L23" s="68"/>
      <c r="M23" s="72"/>
      <c r="N23" s="73"/>
      <c r="O23" s="65"/>
      <c r="P23" s="66"/>
      <c r="Q23" s="67"/>
      <c r="R23" s="68">
        <v>1</v>
      </c>
      <c r="S23" s="69"/>
      <c r="T23" s="70"/>
      <c r="U23" s="67"/>
      <c r="V23" s="71"/>
      <c r="W23" s="68"/>
      <c r="X23" s="72"/>
      <c r="Y23" s="73"/>
      <c r="Z23" s="65"/>
      <c r="AA23" s="66"/>
      <c r="AB23" s="67">
        <v>1</v>
      </c>
      <c r="AC23" s="68"/>
      <c r="AD23" s="69">
        <v>1</v>
      </c>
      <c r="AE23" s="70"/>
      <c r="AF23" s="67"/>
      <c r="AG23" s="71"/>
      <c r="AH23" s="68"/>
      <c r="AI23" s="72"/>
      <c r="AJ23" s="73"/>
      <c r="AK23" s="65"/>
      <c r="AL23" s="66"/>
      <c r="AM23" s="67"/>
      <c r="AN23" s="68">
        <v>1</v>
      </c>
      <c r="AO23" s="69">
        <v>1</v>
      </c>
      <c r="AP23" s="70"/>
      <c r="AQ23" s="67"/>
      <c r="AR23" s="71"/>
      <c r="AS23" s="68"/>
      <c r="AT23" s="72"/>
      <c r="AU23" s="73"/>
      <c r="AV23" s="65"/>
      <c r="AW23" s="66"/>
      <c r="AX23" s="67"/>
      <c r="AY23" s="68">
        <v>1</v>
      </c>
      <c r="AZ23" s="69">
        <v>1</v>
      </c>
      <c r="BA23" s="70"/>
      <c r="BB23" s="67"/>
      <c r="BC23" s="71"/>
      <c r="BD23" s="68"/>
      <c r="BE23" s="72"/>
      <c r="BF23" s="73"/>
      <c r="BG23" s="65">
        <v>1</v>
      </c>
      <c r="BH23" s="66"/>
      <c r="BI23" s="67"/>
      <c r="BJ23" s="68">
        <v>1</v>
      </c>
      <c r="BK23" s="69">
        <v>1</v>
      </c>
      <c r="BL23" s="70"/>
      <c r="BM23" s="67"/>
      <c r="BN23" s="71"/>
      <c r="BO23" s="68"/>
      <c r="BP23" s="72"/>
      <c r="BQ23" s="73"/>
      <c r="BR23" s="65">
        <v>0.5</v>
      </c>
      <c r="BS23" s="66">
        <v>1</v>
      </c>
      <c r="BT23" s="67"/>
      <c r="BU23" s="68">
        <v>1</v>
      </c>
      <c r="BV23" s="69">
        <v>1</v>
      </c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>
        <v>1</v>
      </c>
      <c r="E24" s="66"/>
      <c r="F24" s="67"/>
      <c r="G24" s="68"/>
      <c r="H24" s="69">
        <v>1</v>
      </c>
      <c r="I24" s="70"/>
      <c r="J24" s="67"/>
      <c r="K24" s="71"/>
      <c r="L24" s="68"/>
      <c r="M24" s="72"/>
      <c r="N24" s="73"/>
      <c r="O24" s="65"/>
      <c r="P24" s="66"/>
      <c r="Q24" s="67">
        <v>1</v>
      </c>
      <c r="R24" s="68">
        <v>1</v>
      </c>
      <c r="S24" s="69"/>
      <c r="T24" s="70"/>
      <c r="U24" s="67"/>
      <c r="V24" s="71"/>
      <c r="W24" s="68"/>
      <c r="X24" s="72"/>
      <c r="Y24" s="73"/>
      <c r="Z24" s="65"/>
      <c r="AA24" s="66"/>
      <c r="AB24" s="67">
        <v>1</v>
      </c>
      <c r="AC24" s="68"/>
      <c r="AD24" s="69">
        <v>1</v>
      </c>
      <c r="AE24" s="70"/>
      <c r="AF24" s="67"/>
      <c r="AG24" s="71"/>
      <c r="AH24" s="68"/>
      <c r="AI24" s="72"/>
      <c r="AJ24" s="73"/>
      <c r="AK24" s="65">
        <v>1</v>
      </c>
      <c r="AL24" s="66"/>
      <c r="AM24" s="67"/>
      <c r="AN24" s="68">
        <v>1</v>
      </c>
      <c r="AO24" s="69">
        <v>1</v>
      </c>
      <c r="AP24" s="70"/>
      <c r="AQ24" s="67"/>
      <c r="AR24" s="71"/>
      <c r="AS24" s="68"/>
      <c r="AT24" s="72"/>
      <c r="AU24" s="73"/>
      <c r="AV24" s="65"/>
      <c r="AW24" s="66"/>
      <c r="AX24" s="67"/>
      <c r="AY24" s="68">
        <v>1</v>
      </c>
      <c r="AZ24" s="69">
        <v>1</v>
      </c>
      <c r="BA24" s="70"/>
      <c r="BB24" s="67"/>
      <c r="BC24" s="71"/>
      <c r="BD24" s="68"/>
      <c r="BE24" s="72"/>
      <c r="BF24" s="73"/>
      <c r="BG24" s="65">
        <v>1</v>
      </c>
      <c r="BH24" s="66"/>
      <c r="BI24" s="67"/>
      <c r="BJ24" s="68">
        <v>1</v>
      </c>
      <c r="BK24" s="69"/>
      <c r="BL24" s="70"/>
      <c r="BM24" s="67"/>
      <c r="BN24" s="71"/>
      <c r="BO24" s="68"/>
      <c r="BP24" s="72"/>
      <c r="BQ24" s="73"/>
      <c r="BR24" s="65">
        <v>1</v>
      </c>
      <c r="BS24" s="66">
        <v>1</v>
      </c>
      <c r="BT24" s="67"/>
      <c r="BU24" s="68"/>
      <c r="BV24" s="69">
        <v>1</v>
      </c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>
        <v>1</v>
      </c>
      <c r="E25" s="66"/>
      <c r="F25" s="67"/>
      <c r="G25" s="68"/>
      <c r="H25" s="69">
        <v>1</v>
      </c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>
        <v>1</v>
      </c>
      <c r="S25" s="69"/>
      <c r="T25" s="70"/>
      <c r="U25" s="67"/>
      <c r="V25" s="71"/>
      <c r="W25" s="68"/>
      <c r="X25" s="72"/>
      <c r="Y25" s="73"/>
      <c r="Z25" s="65"/>
      <c r="AA25" s="66"/>
      <c r="AB25" s="67">
        <v>1</v>
      </c>
      <c r="AC25" s="68"/>
      <c r="AD25" s="69">
        <v>1</v>
      </c>
      <c r="AE25" s="70"/>
      <c r="AF25" s="67"/>
      <c r="AG25" s="71"/>
      <c r="AH25" s="68"/>
      <c r="AI25" s="72"/>
      <c r="AJ25" s="73"/>
      <c r="AK25" s="65">
        <v>1</v>
      </c>
      <c r="AL25" s="66"/>
      <c r="AM25" s="67"/>
      <c r="AN25" s="68">
        <v>1</v>
      </c>
      <c r="AO25" s="69">
        <v>1</v>
      </c>
      <c r="AP25" s="70"/>
      <c r="AQ25" s="67"/>
      <c r="AR25" s="71"/>
      <c r="AS25" s="68"/>
      <c r="AT25" s="72"/>
      <c r="AU25" s="73"/>
      <c r="AV25" s="65"/>
      <c r="AW25" s="66"/>
      <c r="AX25" s="67">
        <v>1</v>
      </c>
      <c r="AY25" s="68">
        <v>1</v>
      </c>
      <c r="AZ25" s="69">
        <v>1</v>
      </c>
      <c r="BA25" s="70"/>
      <c r="BB25" s="67"/>
      <c r="BC25" s="71"/>
      <c r="BD25" s="68"/>
      <c r="BE25" s="72"/>
      <c r="BF25" s="73"/>
      <c r="BG25" s="65">
        <v>1</v>
      </c>
      <c r="BH25" s="66"/>
      <c r="BI25" s="67"/>
      <c r="BJ25" s="68">
        <v>1</v>
      </c>
      <c r="BK25" s="69"/>
      <c r="BL25" s="70"/>
      <c r="BM25" s="67"/>
      <c r="BN25" s="71"/>
      <c r="BO25" s="68"/>
      <c r="BP25" s="72"/>
      <c r="BQ25" s="73"/>
      <c r="BR25" s="65">
        <v>1</v>
      </c>
      <c r="BS25" s="66">
        <v>1</v>
      </c>
      <c r="BT25" s="67"/>
      <c r="BU25" s="68"/>
      <c r="BV25" s="69">
        <v>1</v>
      </c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>
        <v>1</v>
      </c>
      <c r="E26" s="66"/>
      <c r="F26" s="67"/>
      <c r="G26" s="68"/>
      <c r="H26" s="69">
        <v>1</v>
      </c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>
        <v>1</v>
      </c>
      <c r="S26" s="69"/>
      <c r="T26" s="70"/>
      <c r="U26" s="67"/>
      <c r="V26" s="71"/>
      <c r="W26" s="68"/>
      <c r="X26" s="72"/>
      <c r="Y26" s="73"/>
      <c r="Z26" s="65"/>
      <c r="AA26" s="66"/>
      <c r="AB26" s="67">
        <v>1</v>
      </c>
      <c r="AC26" s="68"/>
      <c r="AD26" s="69">
        <v>1</v>
      </c>
      <c r="AE26" s="70"/>
      <c r="AF26" s="67"/>
      <c r="AG26" s="71"/>
      <c r="AH26" s="68"/>
      <c r="AI26" s="72"/>
      <c r="AJ26" s="73"/>
      <c r="AK26" s="65">
        <v>1</v>
      </c>
      <c r="AL26" s="66"/>
      <c r="AM26" s="67"/>
      <c r="AN26" s="68">
        <v>1</v>
      </c>
      <c r="AO26" s="69"/>
      <c r="AP26" s="70"/>
      <c r="AQ26" s="67"/>
      <c r="AR26" s="71"/>
      <c r="AS26" s="68"/>
      <c r="AT26" s="72"/>
      <c r="AU26" s="73"/>
      <c r="AV26" s="65"/>
      <c r="AW26" s="66"/>
      <c r="AX26" s="67">
        <v>1</v>
      </c>
      <c r="AY26" s="68">
        <v>1</v>
      </c>
      <c r="AZ26" s="69">
        <v>1</v>
      </c>
      <c r="BA26" s="70"/>
      <c r="BB26" s="67"/>
      <c r="BC26" s="71"/>
      <c r="BD26" s="68"/>
      <c r="BE26" s="72"/>
      <c r="BF26" s="73"/>
      <c r="BG26" s="65">
        <v>1</v>
      </c>
      <c r="BH26" s="66"/>
      <c r="BI26" s="67"/>
      <c r="BJ26" s="68">
        <v>1</v>
      </c>
      <c r="BK26" s="69"/>
      <c r="BL26" s="70"/>
      <c r="BM26" s="67"/>
      <c r="BN26" s="71"/>
      <c r="BO26" s="68"/>
      <c r="BP26" s="72"/>
      <c r="BQ26" s="73"/>
      <c r="BR26" s="65">
        <v>1</v>
      </c>
      <c r="BS26" s="66">
        <v>1</v>
      </c>
      <c r="BT26" s="67"/>
      <c r="BU26" s="68"/>
      <c r="BV26" s="69">
        <v>1</v>
      </c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>
        <v>1</v>
      </c>
      <c r="E27" s="66"/>
      <c r="F27" s="67"/>
      <c r="G27" s="68"/>
      <c r="H27" s="69">
        <v>1</v>
      </c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>
        <v>1</v>
      </c>
      <c r="S27" s="69"/>
      <c r="T27" s="70"/>
      <c r="U27" s="67"/>
      <c r="V27" s="71"/>
      <c r="W27" s="68"/>
      <c r="X27" s="72"/>
      <c r="Y27" s="73"/>
      <c r="Z27" s="65"/>
      <c r="AA27" s="66"/>
      <c r="AB27" s="67">
        <v>1</v>
      </c>
      <c r="AC27" s="68"/>
      <c r="AD27" s="69">
        <v>1</v>
      </c>
      <c r="AE27" s="70"/>
      <c r="AF27" s="67"/>
      <c r="AG27" s="71"/>
      <c r="AH27" s="68"/>
      <c r="AI27" s="72"/>
      <c r="AJ27" s="73"/>
      <c r="AK27" s="65">
        <v>1</v>
      </c>
      <c r="AL27" s="66"/>
      <c r="AM27" s="67"/>
      <c r="AN27" s="68">
        <v>1</v>
      </c>
      <c r="AO27" s="69"/>
      <c r="AP27" s="70"/>
      <c r="AQ27" s="67"/>
      <c r="AR27" s="71"/>
      <c r="AS27" s="68"/>
      <c r="AT27" s="72"/>
      <c r="AU27" s="73"/>
      <c r="AV27" s="65"/>
      <c r="AW27" s="66"/>
      <c r="AX27" s="67">
        <v>1</v>
      </c>
      <c r="AY27" s="68">
        <v>1</v>
      </c>
      <c r="AZ27" s="69">
        <v>1</v>
      </c>
      <c r="BA27" s="70"/>
      <c r="BB27" s="67"/>
      <c r="BC27" s="71"/>
      <c r="BD27" s="68"/>
      <c r="BE27" s="72"/>
      <c r="BF27" s="73"/>
      <c r="BG27" s="65">
        <v>1</v>
      </c>
      <c r="BH27" s="66"/>
      <c r="BI27" s="67"/>
      <c r="BJ27" s="68">
        <v>1</v>
      </c>
      <c r="BK27" s="69"/>
      <c r="BL27" s="70"/>
      <c r="BM27" s="67"/>
      <c r="BN27" s="71"/>
      <c r="BO27" s="68"/>
      <c r="BP27" s="72"/>
      <c r="BQ27" s="73"/>
      <c r="BR27" s="65">
        <v>1</v>
      </c>
      <c r="BS27" s="66">
        <v>1</v>
      </c>
      <c r="BT27" s="67"/>
      <c r="BU27" s="68"/>
      <c r="BV27" s="69">
        <v>1</v>
      </c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>
        <v>1</v>
      </c>
      <c r="E28" s="66"/>
      <c r="F28" s="67"/>
      <c r="G28" s="68"/>
      <c r="H28" s="69">
        <v>1</v>
      </c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>
        <v>1</v>
      </c>
      <c r="S28" s="69"/>
      <c r="T28" s="70"/>
      <c r="U28" s="67"/>
      <c r="V28" s="71"/>
      <c r="W28" s="68"/>
      <c r="X28" s="72"/>
      <c r="Y28" s="73"/>
      <c r="Z28" s="65"/>
      <c r="AA28" s="66"/>
      <c r="AB28" s="67">
        <v>1</v>
      </c>
      <c r="AC28" s="68"/>
      <c r="AD28" s="69">
        <v>1</v>
      </c>
      <c r="AE28" s="70"/>
      <c r="AF28" s="67"/>
      <c r="AG28" s="71"/>
      <c r="AH28" s="68"/>
      <c r="AI28" s="72"/>
      <c r="AJ28" s="73"/>
      <c r="AK28" s="65">
        <v>1</v>
      </c>
      <c r="AL28" s="66"/>
      <c r="AM28" s="67"/>
      <c r="AN28" s="68">
        <v>1</v>
      </c>
      <c r="AO28" s="71"/>
      <c r="AP28" s="71"/>
      <c r="AQ28" s="71"/>
      <c r="AR28" s="71"/>
      <c r="AS28" s="68"/>
      <c r="AT28" s="72"/>
      <c r="AU28" s="73"/>
      <c r="AV28" s="65"/>
      <c r="AW28" s="66"/>
      <c r="AX28" s="67">
        <v>1</v>
      </c>
      <c r="AY28" s="68">
        <v>1</v>
      </c>
      <c r="AZ28" s="69">
        <v>1</v>
      </c>
      <c r="BA28" s="70"/>
      <c r="BB28" s="67"/>
      <c r="BC28" s="71"/>
      <c r="BD28" s="68"/>
      <c r="BE28" s="72"/>
      <c r="BF28" s="73"/>
      <c r="BG28" s="65">
        <v>1</v>
      </c>
      <c r="BH28" s="66"/>
      <c r="BI28" s="67"/>
      <c r="BJ28" s="68">
        <v>1</v>
      </c>
      <c r="BK28" s="69"/>
      <c r="BL28" s="70"/>
      <c r="BM28" s="67"/>
      <c r="BN28" s="71"/>
      <c r="BO28" s="68"/>
      <c r="BP28" s="72"/>
      <c r="BQ28" s="73"/>
      <c r="BR28" s="65">
        <v>1</v>
      </c>
      <c r="BS28" s="66">
        <v>1</v>
      </c>
      <c r="BT28" s="67"/>
      <c r="BU28" s="68"/>
      <c r="BV28" s="69">
        <v>1</v>
      </c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20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21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22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23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24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25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26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ALEXA</v>
      </c>
      <c r="E33" s="31" t="str">
        <f t="shared" si="0"/>
        <v>ANAHY</v>
      </c>
      <c r="F33" s="32" t="str">
        <f t="shared" si="0"/>
        <v>MICHAEL</v>
      </c>
      <c r="G33" s="33" t="str">
        <f t="shared" si="0"/>
        <v>LINDSAY</v>
      </c>
      <c r="H33" s="34" t="str">
        <f t="shared" si="0"/>
        <v>MILA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ALEXA</v>
      </c>
      <c r="P33" s="31" t="str">
        <f t="shared" si="1"/>
        <v>ANAHY</v>
      </c>
      <c r="Q33" s="32" t="str">
        <f t="shared" si="1"/>
        <v>MICHAEL</v>
      </c>
      <c r="R33" s="33" t="str">
        <f t="shared" si="1"/>
        <v>LINDSAY</v>
      </c>
      <c r="S33" s="34" t="str">
        <f t="shared" si="1"/>
        <v>MILA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ALEXA</v>
      </c>
      <c r="AA33" s="31" t="str">
        <f t="shared" si="2"/>
        <v>ANAHY</v>
      </c>
      <c r="AB33" s="32" t="str">
        <f t="shared" si="2"/>
        <v>MICHAEL</v>
      </c>
      <c r="AC33" s="33" t="str">
        <f t="shared" si="2"/>
        <v>LINDSAY</v>
      </c>
      <c r="AD33" s="34" t="str">
        <f t="shared" si="2"/>
        <v>MILA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ALEXA</v>
      </c>
      <c r="AL33" s="31" t="str">
        <f t="shared" si="3"/>
        <v>ANAHY</v>
      </c>
      <c r="AM33" s="32" t="str">
        <f t="shared" si="3"/>
        <v>MICHAEL</v>
      </c>
      <c r="AN33" s="33" t="str">
        <f t="shared" si="3"/>
        <v>LINDSAY</v>
      </c>
      <c r="AO33" s="34" t="str">
        <f t="shared" si="3"/>
        <v>MILA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ALEXA</v>
      </c>
      <c r="AW33" s="31" t="str">
        <f t="shared" si="4"/>
        <v>ANAHY</v>
      </c>
      <c r="AX33" s="32" t="str">
        <f t="shared" si="4"/>
        <v>MICHAEL</v>
      </c>
      <c r="AY33" s="33" t="str">
        <f t="shared" si="4"/>
        <v>LINDSAY</v>
      </c>
      <c r="AZ33" s="34" t="str">
        <f t="shared" si="4"/>
        <v>MILA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ALEXA</v>
      </c>
      <c r="BH33" s="31" t="str">
        <f t="shared" si="5"/>
        <v>ANAHY</v>
      </c>
      <c r="BI33" s="32" t="str">
        <f t="shared" si="5"/>
        <v>MICHAEL</v>
      </c>
      <c r="BJ33" s="33" t="str">
        <f t="shared" si="5"/>
        <v>LINDSAY</v>
      </c>
      <c r="BK33" s="34" t="str">
        <f t="shared" si="5"/>
        <v>MILA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ALEXA</v>
      </c>
      <c r="BS33" s="31" t="str">
        <f t="shared" si="6"/>
        <v>ANAHY</v>
      </c>
      <c r="BT33" s="32" t="str">
        <f t="shared" si="6"/>
        <v>MICHAEL</v>
      </c>
      <c r="BU33" s="33" t="str">
        <f t="shared" si="6"/>
        <v>LINDSAY</v>
      </c>
      <c r="BV33" s="34" t="str">
        <f t="shared" si="6"/>
        <v>MILA</v>
      </c>
      <c r="BW33" s="35">
        <f t="shared" si="6"/>
        <v>0</v>
      </c>
      <c r="BX33" s="32">
        <f t="shared" si="6"/>
        <v>0</v>
      </c>
      <c r="BY33" s="36" t="str">
        <f t="shared" si="6"/>
        <v>BIANACA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6</v>
      </c>
      <c r="E34" s="48">
        <f t="shared" ref="E34:M34" si="7">SUM(E7:E30)</f>
        <v>4</v>
      </c>
      <c r="F34" s="49">
        <f t="shared" si="7"/>
        <v>0</v>
      </c>
      <c r="G34" s="50">
        <f t="shared" si="7"/>
        <v>0</v>
      </c>
      <c r="H34" s="51">
        <f t="shared" si="7"/>
        <v>10</v>
      </c>
      <c r="I34" s="52">
        <f t="shared" si="7"/>
        <v>0</v>
      </c>
      <c r="J34" s="49">
        <f t="shared" si="7"/>
        <v>0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0</v>
      </c>
      <c r="P34" s="48">
        <f t="shared" si="8"/>
        <v>4</v>
      </c>
      <c r="Q34" s="49">
        <f t="shared" si="8"/>
        <v>5</v>
      </c>
      <c r="R34" s="50">
        <f t="shared" si="8"/>
        <v>9</v>
      </c>
      <c r="S34" s="51">
        <f t="shared" si="8"/>
        <v>0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0</v>
      </c>
      <c r="AA34" s="48">
        <f t="shared" si="9"/>
        <v>0</v>
      </c>
      <c r="AB34" s="49">
        <f t="shared" si="9"/>
        <v>6</v>
      </c>
      <c r="AC34" s="50">
        <f t="shared" si="9"/>
        <v>5.5</v>
      </c>
      <c r="AD34" s="51">
        <f t="shared" si="9"/>
        <v>10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5</v>
      </c>
      <c r="AL34" s="48">
        <f t="shared" si="10"/>
        <v>0</v>
      </c>
      <c r="AM34" s="49">
        <f t="shared" si="10"/>
        <v>4.5</v>
      </c>
      <c r="AN34" s="50">
        <f t="shared" si="10"/>
        <v>8</v>
      </c>
      <c r="AO34" s="51">
        <f t="shared" si="10"/>
        <v>8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0</v>
      </c>
      <c r="AW34" s="48">
        <f t="shared" si="11"/>
        <v>4</v>
      </c>
      <c r="AX34" s="49">
        <f t="shared" si="11"/>
        <v>4</v>
      </c>
      <c r="AY34" s="50">
        <f t="shared" si="11"/>
        <v>10</v>
      </c>
      <c r="AZ34" s="51">
        <f t="shared" si="11"/>
        <v>6</v>
      </c>
      <c r="BA34" s="52">
        <f t="shared" si="11"/>
        <v>0</v>
      </c>
      <c r="BB34" s="49">
        <f t="shared" si="11"/>
        <v>0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7</v>
      </c>
      <c r="BH34" s="48">
        <f t="shared" si="12"/>
        <v>4</v>
      </c>
      <c r="BI34" s="49">
        <f t="shared" si="12"/>
        <v>0</v>
      </c>
      <c r="BJ34" s="50">
        <f t="shared" si="12"/>
        <v>9.5</v>
      </c>
      <c r="BK34" s="51">
        <f t="shared" si="12"/>
        <v>6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5.5</v>
      </c>
      <c r="BS34" s="48">
        <f t="shared" si="13"/>
        <v>7.5</v>
      </c>
      <c r="BT34" s="49">
        <f t="shared" si="13"/>
        <v>4</v>
      </c>
      <c r="BU34" s="50">
        <f t="shared" si="13"/>
        <v>6</v>
      </c>
      <c r="BV34" s="51">
        <f t="shared" si="13"/>
        <v>8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38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23.5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36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23.5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37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23.5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48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39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48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0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0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  <mergeCell ref="B41:J41"/>
    <mergeCell ref="L41:N41"/>
    <mergeCell ref="B42:J42"/>
    <mergeCell ref="L42:N42"/>
    <mergeCell ref="B43:J43"/>
    <mergeCell ref="L43:N43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</mergeCells>
  <conditionalFormatting sqref="D7:M14 D29:M30">
    <cfRule type="expression" dxfId="286" priority="14">
      <formula>IF(OR(D7=0,D7=""),TRUE(),FALSE())</formula>
    </cfRule>
  </conditionalFormatting>
  <conditionalFormatting sqref="D15:M28">
    <cfRule type="expression" dxfId="285" priority="13">
      <formula>IF(OR(D15=0,D15=""),TRUE(),FALSE())</formula>
    </cfRule>
  </conditionalFormatting>
  <conditionalFormatting sqref="O7:X14 O29:X30">
    <cfRule type="expression" dxfId="284" priority="12">
      <formula>IF(OR(O7=0,O7=""),TRUE(),FALSE())</formula>
    </cfRule>
  </conditionalFormatting>
  <conditionalFormatting sqref="O15:X28">
    <cfRule type="expression" dxfId="283" priority="11">
      <formula>IF(OR(O15=0,O15=""),TRUE(),FALSE())</formula>
    </cfRule>
  </conditionalFormatting>
  <conditionalFormatting sqref="Z7:AI14 Z29:AI30">
    <cfRule type="expression" dxfId="282" priority="10">
      <formula>IF(OR(Z7=0,Z7=""),TRUE(),FALSE())</formula>
    </cfRule>
  </conditionalFormatting>
  <conditionalFormatting sqref="Z15:AI28">
    <cfRule type="expression" dxfId="281" priority="9">
      <formula>IF(OR(Z15=0,Z15=""),TRUE(),FALSE())</formula>
    </cfRule>
  </conditionalFormatting>
  <conditionalFormatting sqref="AK7:AT14 AK29:AT30">
    <cfRule type="expression" dxfId="280" priority="8">
      <formula>IF(OR(AK7=0,AK7=""),TRUE(),FALSE())</formula>
    </cfRule>
  </conditionalFormatting>
  <conditionalFormatting sqref="AK15:AT28">
    <cfRule type="expression" dxfId="279" priority="7">
      <formula>IF(OR(AK15=0,AK15=""),TRUE(),FALSE())</formula>
    </cfRule>
  </conditionalFormatting>
  <conditionalFormatting sqref="AV7:BE14 AV29:BE30">
    <cfRule type="expression" dxfId="278" priority="6">
      <formula>IF(OR(AV7=0,AV7=""),TRUE(),FALSE())</formula>
    </cfRule>
  </conditionalFormatting>
  <conditionalFormatting sqref="AV15:BE28">
    <cfRule type="expression" dxfId="277" priority="5">
      <formula>IF(OR(AV15=0,AV15=""),TRUE(),FALSE())</formula>
    </cfRule>
  </conditionalFormatting>
  <conditionalFormatting sqref="BG7:BP14 BG29:BP30">
    <cfRule type="expression" dxfId="276" priority="4">
      <formula>IF(OR(BG7=0,BG7=""),TRUE(),FALSE())</formula>
    </cfRule>
  </conditionalFormatting>
  <conditionalFormatting sqref="BG15:BP28">
    <cfRule type="expression" dxfId="275" priority="3">
      <formula>IF(OR(BG15=0,BG15=""),TRUE(),FALSE())</formula>
    </cfRule>
  </conditionalFormatting>
  <conditionalFormatting sqref="BR7:CA14 BR29:CA30">
    <cfRule type="expression" dxfId="274" priority="2">
      <formula>IF(OR(BR7=0,BR7=""),TRUE(),FALSE())</formula>
    </cfRule>
  </conditionalFormatting>
  <conditionalFormatting sqref="BR15:CA28">
    <cfRule type="expression" dxfId="273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D543431C-C4A1-47B4-A957-0F53387A1639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C37CE-A8DB-4550-9A6D-DCC94E980FE2}">
  <sheetPr codeName="Hoja9"/>
  <dimension ref="A1:CA48"/>
  <sheetViews>
    <sheetView showGridLines="0" zoomScale="70" zoomScaleNormal="70" workbookViewId="0">
      <pane xSplit="3" ySplit="6" topLeftCell="E7" activePane="bottomRight" state="frozen"/>
      <selection pane="topRight" activeCell="D1" sqref="D1"/>
      <selection pane="bottomLeft" activeCell="A8" sqref="A8"/>
      <selection pane="bottomRight" activeCell="R19" sqref="R19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20 DE ABRIL AL 26 DE ABRIL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46132</v>
      </c>
      <c r="D5" s="63" t="str">
        <f>CONCATENATE("Lunes ",TEXT(DAY(C5),"00"))</f>
        <v>Lunes 20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21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22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23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24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25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26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38</v>
      </c>
      <c r="E6" s="9" t="s">
        <v>33</v>
      </c>
      <c r="F6" s="10" t="s">
        <v>31</v>
      </c>
      <c r="G6" s="11" t="s">
        <v>21</v>
      </c>
      <c r="H6" s="12" t="s">
        <v>13</v>
      </c>
      <c r="I6" s="13"/>
      <c r="J6" s="10"/>
      <c r="K6" s="14"/>
      <c r="L6" s="11"/>
      <c r="M6" s="15"/>
      <c r="O6" s="8" t="str">
        <f>D6</f>
        <v>ALEXA</v>
      </c>
      <c r="P6" s="9" t="str">
        <f>E6</f>
        <v>ANAHY</v>
      </c>
      <c r="Q6" s="10" t="str">
        <f>F6</f>
        <v>MICHAEL</v>
      </c>
      <c r="R6" s="11" t="str">
        <f>G6</f>
        <v>LINDSAY</v>
      </c>
      <c r="S6" s="12" t="str">
        <f>H6</f>
        <v>MILA</v>
      </c>
      <c r="T6" s="13"/>
      <c r="U6" s="10"/>
      <c r="V6" s="14"/>
      <c r="W6" s="11"/>
      <c r="X6" s="15"/>
      <c r="Z6" s="8" t="str">
        <f>O6</f>
        <v>ALEXA</v>
      </c>
      <c r="AA6" s="9" t="s">
        <v>33</v>
      </c>
      <c r="AB6" s="10" t="str">
        <f>Q6</f>
        <v>MICHAEL</v>
      </c>
      <c r="AC6" s="11" t="str">
        <f>R6</f>
        <v>LINDSAY</v>
      </c>
      <c r="AD6" s="12" t="str">
        <f>H6</f>
        <v>MILA</v>
      </c>
      <c r="AE6" s="13"/>
      <c r="AF6" s="10"/>
      <c r="AG6" s="14"/>
      <c r="AH6" s="11"/>
      <c r="AI6" s="15"/>
      <c r="AK6" s="8" t="str">
        <f>Z6</f>
        <v>ALEXA</v>
      </c>
      <c r="AL6" s="9" t="str">
        <f>AA6</f>
        <v>ANAHY</v>
      </c>
      <c r="AM6" s="10" t="str">
        <f>Q6</f>
        <v>MICHAEL</v>
      </c>
      <c r="AN6" s="11" t="str">
        <f>AC6</f>
        <v>LINDSAY</v>
      </c>
      <c r="AO6" s="12" t="str">
        <f>H6</f>
        <v>MILA</v>
      </c>
      <c r="AP6" s="13"/>
      <c r="AQ6" s="10"/>
      <c r="AR6" s="14"/>
      <c r="AS6" s="11"/>
      <c r="AT6" s="15"/>
      <c r="AV6" s="8" t="str">
        <f>AK6</f>
        <v>ALEXA</v>
      </c>
      <c r="AW6" s="9" t="s">
        <v>33</v>
      </c>
      <c r="AX6" s="10" t="str">
        <f>AB6</f>
        <v>MICHAEL</v>
      </c>
      <c r="AY6" s="11" t="str">
        <f>AN6</f>
        <v>LINDSAY</v>
      </c>
      <c r="AZ6" s="12" t="str">
        <f>H6</f>
        <v>MILA</v>
      </c>
      <c r="BA6" s="13"/>
      <c r="BB6" s="10"/>
      <c r="BC6" s="14"/>
      <c r="BD6" s="11"/>
      <c r="BE6" s="15"/>
      <c r="BG6" s="8" t="str">
        <f>AV6</f>
        <v>ALEXA</v>
      </c>
      <c r="BH6" s="9" t="s">
        <v>33</v>
      </c>
      <c r="BI6" s="10" t="str">
        <f>AX6</f>
        <v>MICHAEL</v>
      </c>
      <c r="BJ6" s="11" t="str">
        <f>AC6</f>
        <v>LINDSAY</v>
      </c>
      <c r="BK6" s="12" t="str">
        <f>S6</f>
        <v>MILA</v>
      </c>
      <c r="BL6" s="13"/>
      <c r="BM6" s="10"/>
      <c r="BN6" s="14"/>
      <c r="BO6" s="11"/>
      <c r="BP6" s="15"/>
      <c r="BR6" s="8" t="str">
        <f>AV6</f>
        <v>ALEXA</v>
      </c>
      <c r="BS6" s="9" t="str">
        <f>BH6</f>
        <v>ANAHY</v>
      </c>
      <c r="BT6" s="10" t="str">
        <f>AX6</f>
        <v>MICHAEL</v>
      </c>
      <c r="BU6" s="11" t="str">
        <f>BJ6</f>
        <v>LINDSAY</v>
      </c>
      <c r="BV6" s="12" t="s">
        <v>13</v>
      </c>
      <c r="BW6" s="13"/>
      <c r="BX6" s="10"/>
      <c r="BY6" s="14" t="s">
        <v>30</v>
      </c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/>
      <c r="BB14" s="18"/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/>
      <c r="H15" s="69"/>
      <c r="I15" s="70"/>
      <c r="J15" s="67"/>
      <c r="K15" s="71"/>
      <c r="L15" s="68"/>
      <c r="M15" s="72"/>
      <c r="N15" s="73"/>
      <c r="O15" s="65">
        <v>1</v>
      </c>
      <c r="P15" s="66">
        <v>1</v>
      </c>
      <c r="Q15" s="67">
        <v>1</v>
      </c>
      <c r="R15" s="68">
        <v>1</v>
      </c>
      <c r="S15" s="69">
        <v>1</v>
      </c>
      <c r="T15" s="70"/>
      <c r="U15" s="67"/>
      <c r="V15" s="71"/>
      <c r="W15" s="68"/>
      <c r="X15" s="72"/>
      <c r="Y15" s="73"/>
      <c r="Z15" s="65"/>
      <c r="AA15" s="66"/>
      <c r="AB15" s="67"/>
      <c r="AC15" s="68"/>
      <c r="AD15" s="69"/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/>
      <c r="BI15" s="67"/>
      <c r="BJ15" s="68"/>
      <c r="BK15" s="69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/>
      <c r="F16" s="67"/>
      <c r="G16" s="68"/>
      <c r="H16" s="69"/>
      <c r="I16" s="70"/>
      <c r="J16" s="67"/>
      <c r="K16" s="71"/>
      <c r="L16" s="68"/>
      <c r="M16" s="72"/>
      <c r="N16" s="73"/>
      <c r="O16" s="65">
        <v>0.5</v>
      </c>
      <c r="P16" s="66">
        <v>0.5</v>
      </c>
      <c r="Q16" s="67">
        <v>0.5</v>
      </c>
      <c r="R16" s="68">
        <v>0.5</v>
      </c>
      <c r="S16" s="69">
        <v>0.5</v>
      </c>
      <c r="T16" s="70"/>
      <c r="U16" s="67"/>
      <c r="V16" s="71"/>
      <c r="W16" s="68"/>
      <c r="X16" s="72"/>
      <c r="Y16" s="73"/>
      <c r="Z16" s="65"/>
      <c r="AA16" s="66"/>
      <c r="AB16" s="67"/>
      <c r="AC16" s="68"/>
      <c r="AD16" s="69"/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6"/>
      <c r="BI16" s="67"/>
      <c r="BJ16" s="68"/>
      <c r="BK16" s="69"/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>
        <v>1</v>
      </c>
      <c r="F17" s="67"/>
      <c r="G17" s="68"/>
      <c r="H17" s="69"/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/>
      <c r="S17" s="69"/>
      <c r="T17" s="70"/>
      <c r="U17" s="67"/>
      <c r="V17" s="71"/>
      <c r="W17" s="68"/>
      <c r="X17" s="72"/>
      <c r="Y17" s="73"/>
      <c r="Z17" s="65"/>
      <c r="AA17" s="66"/>
      <c r="AB17" s="67"/>
      <c r="AC17" s="68">
        <v>1</v>
      </c>
      <c r="AD17" s="69"/>
      <c r="AE17" s="70"/>
      <c r="AF17" s="67"/>
      <c r="AG17" s="71"/>
      <c r="AH17" s="68"/>
      <c r="AI17" s="72"/>
      <c r="AJ17" s="73"/>
      <c r="AK17" s="65"/>
      <c r="AL17" s="66"/>
      <c r="AM17" s="67">
        <v>1</v>
      </c>
      <c r="AN17" s="68"/>
      <c r="AO17" s="69">
        <v>1</v>
      </c>
      <c r="AP17" s="70"/>
      <c r="AQ17" s="67"/>
      <c r="AR17" s="71"/>
      <c r="AS17" s="68"/>
      <c r="AT17" s="72"/>
      <c r="AU17" s="73"/>
      <c r="AV17" s="65"/>
      <c r="AW17" s="66">
        <v>1</v>
      </c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>
        <v>1</v>
      </c>
      <c r="BI17" s="67"/>
      <c r="BJ17" s="68"/>
      <c r="BK17" s="69">
        <v>1</v>
      </c>
      <c r="BL17" s="70"/>
      <c r="BM17" s="67"/>
      <c r="BN17" s="71"/>
      <c r="BO17" s="68"/>
      <c r="BP17" s="72"/>
      <c r="BQ17" s="73"/>
      <c r="BR17" s="65">
        <v>1</v>
      </c>
      <c r="BS17" s="66">
        <v>1</v>
      </c>
      <c r="BT17" s="67"/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>
        <v>1</v>
      </c>
      <c r="F18" s="67"/>
      <c r="G18" s="68"/>
      <c r="H18" s="69">
        <v>1</v>
      </c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/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>
        <v>1</v>
      </c>
      <c r="AD18" s="69"/>
      <c r="AE18" s="70"/>
      <c r="AF18" s="67"/>
      <c r="AG18" s="71"/>
      <c r="AH18" s="68"/>
      <c r="AI18" s="72"/>
      <c r="AJ18" s="73"/>
      <c r="AK18" s="65"/>
      <c r="AL18" s="66"/>
      <c r="AM18" s="67">
        <v>1</v>
      </c>
      <c r="AN18" s="68"/>
      <c r="AO18" s="69">
        <v>1</v>
      </c>
      <c r="AP18" s="70"/>
      <c r="AQ18" s="67"/>
      <c r="AR18" s="71"/>
      <c r="AS18" s="68"/>
      <c r="AT18" s="72"/>
      <c r="AU18" s="73"/>
      <c r="AV18" s="65"/>
      <c r="AW18" s="66">
        <v>1</v>
      </c>
      <c r="AX18" s="67"/>
      <c r="AY18" s="68"/>
      <c r="AZ18" s="69"/>
      <c r="BA18" s="70"/>
      <c r="BB18" s="67"/>
      <c r="BC18" s="71"/>
      <c r="BD18" s="68"/>
      <c r="BE18" s="72"/>
      <c r="BF18" s="73"/>
      <c r="BG18" s="65"/>
      <c r="BH18" s="66">
        <v>1</v>
      </c>
      <c r="BI18" s="67"/>
      <c r="BJ18" s="68"/>
      <c r="BK18" s="69">
        <v>1</v>
      </c>
      <c r="BL18" s="70"/>
      <c r="BM18" s="67"/>
      <c r="BN18" s="71"/>
      <c r="BO18" s="68"/>
      <c r="BP18" s="72"/>
      <c r="BQ18" s="73"/>
      <c r="BR18" s="65">
        <v>1</v>
      </c>
      <c r="BS18" s="66">
        <v>1</v>
      </c>
      <c r="BT18" s="67"/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>
        <v>1</v>
      </c>
      <c r="F19" s="67"/>
      <c r="G19" s="68"/>
      <c r="H19" s="69">
        <v>1</v>
      </c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>
        <v>1</v>
      </c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>
        <v>1</v>
      </c>
      <c r="AD19" s="69">
        <v>1</v>
      </c>
      <c r="AE19" s="70"/>
      <c r="AF19" s="67"/>
      <c r="AG19" s="71"/>
      <c r="AH19" s="68"/>
      <c r="AI19" s="72"/>
      <c r="AJ19" s="73"/>
      <c r="AK19" s="65"/>
      <c r="AL19" s="66"/>
      <c r="AM19" s="67"/>
      <c r="AN19" s="68"/>
      <c r="AO19" s="69">
        <v>1</v>
      </c>
      <c r="AP19" s="70"/>
      <c r="AQ19" s="67"/>
      <c r="AR19" s="71"/>
      <c r="AS19" s="68"/>
      <c r="AT19" s="72"/>
      <c r="AU19" s="73"/>
      <c r="AV19" s="65"/>
      <c r="AW19" s="66">
        <v>1</v>
      </c>
      <c r="AX19" s="67"/>
      <c r="AY19" s="68">
        <v>1</v>
      </c>
      <c r="AZ19" s="69"/>
      <c r="BA19" s="70"/>
      <c r="BB19" s="67"/>
      <c r="BC19" s="71"/>
      <c r="BD19" s="68"/>
      <c r="BE19" s="72"/>
      <c r="BF19" s="73"/>
      <c r="BG19" s="65"/>
      <c r="BH19" s="66">
        <v>1</v>
      </c>
      <c r="BI19" s="67"/>
      <c r="BJ19" s="68">
        <v>1</v>
      </c>
      <c r="BK19" s="69">
        <v>1</v>
      </c>
      <c r="BL19" s="70"/>
      <c r="BM19" s="67"/>
      <c r="BN19" s="71"/>
      <c r="BO19" s="68"/>
      <c r="BP19" s="72"/>
      <c r="BQ19" s="73"/>
      <c r="BR19" s="65">
        <v>1</v>
      </c>
      <c r="BS19" s="66">
        <v>1</v>
      </c>
      <c r="BT19" s="67"/>
      <c r="BU19" s="68"/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/>
      <c r="F20" s="67"/>
      <c r="G20" s="68"/>
      <c r="H20" s="69">
        <v>1</v>
      </c>
      <c r="I20" s="70"/>
      <c r="J20" s="67"/>
      <c r="K20" s="71"/>
      <c r="L20" s="68"/>
      <c r="M20" s="72"/>
      <c r="N20" s="74"/>
      <c r="O20" s="65"/>
      <c r="P20" s="66"/>
      <c r="Q20" s="67"/>
      <c r="R20" s="68">
        <v>1</v>
      </c>
      <c r="S20" s="69"/>
      <c r="T20" s="70"/>
      <c r="U20" s="67"/>
      <c r="V20" s="71"/>
      <c r="W20" s="68"/>
      <c r="X20" s="72"/>
      <c r="Y20" s="74"/>
      <c r="Z20" s="65"/>
      <c r="AA20" s="66"/>
      <c r="AB20" s="67"/>
      <c r="AC20" s="68">
        <v>1</v>
      </c>
      <c r="AD20" s="69"/>
      <c r="AE20" s="70"/>
      <c r="AF20" s="67"/>
      <c r="AG20" s="71"/>
      <c r="AH20" s="68"/>
      <c r="AI20" s="72"/>
      <c r="AJ20" s="74"/>
      <c r="AK20" s="65"/>
      <c r="AL20" s="66"/>
      <c r="AM20" s="67">
        <v>1</v>
      </c>
      <c r="AN20" s="68">
        <v>1</v>
      </c>
      <c r="AO20" s="69"/>
      <c r="AP20" s="70"/>
      <c r="AQ20" s="67"/>
      <c r="AR20" s="71"/>
      <c r="AS20" s="68"/>
      <c r="AT20" s="72"/>
      <c r="AU20" s="74"/>
      <c r="AV20" s="65"/>
      <c r="AW20" s="66"/>
      <c r="AX20" s="67"/>
      <c r="AY20" s="68">
        <v>1</v>
      </c>
      <c r="AZ20" s="69"/>
      <c r="BA20" s="70"/>
      <c r="BB20" s="67"/>
      <c r="BC20" s="71"/>
      <c r="BD20" s="68"/>
      <c r="BE20" s="72"/>
      <c r="BF20" s="74"/>
      <c r="BG20" s="65"/>
      <c r="BH20" s="66"/>
      <c r="BI20" s="67"/>
      <c r="BJ20" s="68">
        <v>1</v>
      </c>
      <c r="BK20" s="69"/>
      <c r="BL20" s="70"/>
      <c r="BM20" s="67"/>
      <c r="BN20" s="71"/>
      <c r="BO20" s="68"/>
      <c r="BP20" s="72"/>
      <c r="BQ20" s="74"/>
      <c r="BR20" s="65">
        <v>1</v>
      </c>
      <c r="BS20" s="66"/>
      <c r="BT20" s="67"/>
      <c r="BU20" s="68"/>
      <c r="BV20" s="69">
        <v>1</v>
      </c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>
        <v>1</v>
      </c>
      <c r="F21" s="67"/>
      <c r="G21" s="68"/>
      <c r="H21" s="69"/>
      <c r="I21" s="70"/>
      <c r="J21" s="67"/>
      <c r="K21" s="71"/>
      <c r="L21" s="68"/>
      <c r="M21" s="72"/>
      <c r="N21" s="73"/>
      <c r="O21" s="65"/>
      <c r="P21" s="66">
        <v>1</v>
      </c>
      <c r="Q21" s="67"/>
      <c r="R21" s="68"/>
      <c r="S21" s="69"/>
      <c r="T21" s="70"/>
      <c r="U21" s="67"/>
      <c r="V21" s="71"/>
      <c r="W21" s="68"/>
      <c r="X21" s="72"/>
      <c r="Y21" s="73"/>
      <c r="Z21" s="65"/>
      <c r="AA21" s="66"/>
      <c r="AB21" s="67"/>
      <c r="AC21" s="68">
        <v>0.5</v>
      </c>
      <c r="AD21" s="69">
        <v>1</v>
      </c>
      <c r="AE21" s="70"/>
      <c r="AF21" s="67"/>
      <c r="AG21" s="71"/>
      <c r="AH21" s="68"/>
      <c r="AI21" s="72"/>
      <c r="AJ21" s="73"/>
      <c r="AK21" s="65"/>
      <c r="AL21" s="66"/>
      <c r="AM21" s="67">
        <v>1</v>
      </c>
      <c r="AN21" s="68"/>
      <c r="AO21" s="69">
        <v>1</v>
      </c>
      <c r="AP21" s="70"/>
      <c r="AQ21" s="67"/>
      <c r="AR21" s="71"/>
      <c r="AS21" s="68"/>
      <c r="AT21" s="72"/>
      <c r="AU21" s="73"/>
      <c r="AV21" s="65"/>
      <c r="AW21" s="66">
        <v>1</v>
      </c>
      <c r="AX21" s="67"/>
      <c r="AY21" s="68"/>
      <c r="AZ21" s="69"/>
      <c r="BA21" s="70"/>
      <c r="BB21" s="67"/>
      <c r="BC21" s="71"/>
      <c r="BD21" s="68"/>
      <c r="BE21" s="72"/>
      <c r="BF21" s="73"/>
      <c r="BG21" s="65"/>
      <c r="BH21" s="66">
        <v>1</v>
      </c>
      <c r="BI21" s="67"/>
      <c r="BJ21" s="68"/>
      <c r="BK21" s="69">
        <v>1</v>
      </c>
      <c r="BL21" s="70"/>
      <c r="BM21" s="67"/>
      <c r="BN21" s="71"/>
      <c r="BO21" s="68"/>
      <c r="BP21" s="72"/>
      <c r="BQ21" s="73"/>
      <c r="BR21" s="65"/>
      <c r="BS21" s="66">
        <v>1</v>
      </c>
      <c r="BT21" s="67"/>
      <c r="BU21" s="68">
        <v>1</v>
      </c>
      <c r="BV21" s="69"/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>
        <v>1</v>
      </c>
      <c r="E22" s="66"/>
      <c r="F22" s="67"/>
      <c r="G22" s="68"/>
      <c r="H22" s="69">
        <v>1</v>
      </c>
      <c r="I22" s="70"/>
      <c r="J22" s="67"/>
      <c r="K22" s="71"/>
      <c r="L22" s="68"/>
      <c r="M22" s="72"/>
      <c r="N22" s="73"/>
      <c r="O22" s="65"/>
      <c r="P22" s="66"/>
      <c r="Q22" s="67"/>
      <c r="R22" s="68">
        <v>1</v>
      </c>
      <c r="S22" s="69"/>
      <c r="T22" s="70"/>
      <c r="U22" s="67"/>
      <c r="V22" s="71"/>
      <c r="W22" s="68"/>
      <c r="X22" s="72"/>
      <c r="Y22" s="73"/>
      <c r="Z22" s="65"/>
      <c r="AA22" s="66"/>
      <c r="AB22" s="67"/>
      <c r="AC22" s="68"/>
      <c r="AD22" s="69">
        <v>1</v>
      </c>
      <c r="AE22" s="70"/>
      <c r="AF22" s="67"/>
      <c r="AG22" s="71"/>
      <c r="AH22" s="68"/>
      <c r="AI22" s="72"/>
      <c r="AJ22" s="73"/>
      <c r="AK22" s="65"/>
      <c r="AL22" s="66"/>
      <c r="AM22" s="67"/>
      <c r="AN22" s="68">
        <v>1</v>
      </c>
      <c r="AO22" s="69">
        <v>1</v>
      </c>
      <c r="AP22" s="70"/>
      <c r="AQ22" s="67"/>
      <c r="AR22" s="71"/>
      <c r="AS22" s="68"/>
      <c r="AT22" s="72"/>
      <c r="AU22" s="73"/>
      <c r="AV22" s="65"/>
      <c r="AW22" s="66"/>
      <c r="AX22" s="67"/>
      <c r="AY22" s="68">
        <v>1</v>
      </c>
      <c r="AZ22" s="69"/>
      <c r="BA22" s="70"/>
      <c r="BB22" s="67"/>
      <c r="BC22" s="71"/>
      <c r="BD22" s="68"/>
      <c r="BE22" s="72"/>
      <c r="BF22" s="73"/>
      <c r="BG22" s="65"/>
      <c r="BH22" s="66"/>
      <c r="BI22" s="67"/>
      <c r="BJ22" s="68">
        <v>1</v>
      </c>
      <c r="BK22" s="69">
        <v>1</v>
      </c>
      <c r="BL22" s="70"/>
      <c r="BM22" s="67"/>
      <c r="BN22" s="71"/>
      <c r="BO22" s="68"/>
      <c r="BP22" s="72"/>
      <c r="BQ22" s="73"/>
      <c r="BR22" s="65"/>
      <c r="BS22" s="66">
        <v>1</v>
      </c>
      <c r="BT22" s="67"/>
      <c r="BU22" s="68"/>
      <c r="BV22" s="69">
        <v>1</v>
      </c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/>
      <c r="E23" s="66"/>
      <c r="F23" s="67"/>
      <c r="G23" s="68"/>
      <c r="H23" s="69">
        <v>1</v>
      </c>
      <c r="I23" s="70"/>
      <c r="J23" s="67"/>
      <c r="K23" s="71"/>
      <c r="L23" s="68"/>
      <c r="M23" s="72"/>
      <c r="N23" s="73"/>
      <c r="O23" s="65"/>
      <c r="P23" s="66"/>
      <c r="Q23" s="67"/>
      <c r="R23" s="68">
        <v>1</v>
      </c>
      <c r="S23" s="69"/>
      <c r="T23" s="70"/>
      <c r="U23" s="67"/>
      <c r="V23" s="71"/>
      <c r="W23" s="68"/>
      <c r="X23" s="72"/>
      <c r="Y23" s="73"/>
      <c r="Z23" s="65"/>
      <c r="AA23" s="66"/>
      <c r="AB23" s="67"/>
      <c r="AC23" s="68"/>
      <c r="AD23" s="69">
        <v>1</v>
      </c>
      <c r="AE23" s="70"/>
      <c r="AF23" s="67"/>
      <c r="AG23" s="71"/>
      <c r="AH23" s="68"/>
      <c r="AI23" s="72"/>
      <c r="AJ23" s="73"/>
      <c r="AK23" s="65"/>
      <c r="AL23" s="66"/>
      <c r="AM23" s="67"/>
      <c r="AN23" s="68">
        <v>1</v>
      </c>
      <c r="AO23" s="69">
        <v>1</v>
      </c>
      <c r="AP23" s="70"/>
      <c r="AQ23" s="67"/>
      <c r="AR23" s="71"/>
      <c r="AS23" s="68"/>
      <c r="AT23" s="72"/>
      <c r="AU23" s="73"/>
      <c r="AV23" s="65"/>
      <c r="AW23" s="66"/>
      <c r="AX23" s="67"/>
      <c r="AY23" s="68">
        <v>1</v>
      </c>
      <c r="AZ23" s="69">
        <v>1</v>
      </c>
      <c r="BA23" s="70"/>
      <c r="BB23" s="67"/>
      <c r="BC23" s="71"/>
      <c r="BD23" s="68"/>
      <c r="BE23" s="72"/>
      <c r="BF23" s="73"/>
      <c r="BG23" s="65"/>
      <c r="BH23" s="66"/>
      <c r="BI23" s="67"/>
      <c r="BJ23" s="68">
        <v>1</v>
      </c>
      <c r="BK23" s="69">
        <v>0.5</v>
      </c>
      <c r="BL23" s="70"/>
      <c r="BM23" s="67"/>
      <c r="BN23" s="71"/>
      <c r="BO23" s="68"/>
      <c r="BP23" s="72"/>
      <c r="BQ23" s="73"/>
      <c r="BR23" s="65"/>
      <c r="BS23" s="66">
        <v>1</v>
      </c>
      <c r="BT23" s="67"/>
      <c r="BU23" s="68">
        <v>1</v>
      </c>
      <c r="BV23" s="69">
        <v>1</v>
      </c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>
        <v>1</v>
      </c>
      <c r="E24" s="66"/>
      <c r="F24" s="67"/>
      <c r="G24" s="68"/>
      <c r="H24" s="69">
        <v>1</v>
      </c>
      <c r="I24" s="70"/>
      <c r="J24" s="67"/>
      <c r="K24" s="71"/>
      <c r="L24" s="68"/>
      <c r="M24" s="72"/>
      <c r="N24" s="73"/>
      <c r="O24" s="65"/>
      <c r="P24" s="66"/>
      <c r="Q24" s="67">
        <v>1</v>
      </c>
      <c r="R24" s="68">
        <v>1</v>
      </c>
      <c r="S24" s="69"/>
      <c r="T24" s="70"/>
      <c r="U24" s="67"/>
      <c r="V24" s="71"/>
      <c r="W24" s="68"/>
      <c r="X24" s="72"/>
      <c r="Y24" s="73"/>
      <c r="Z24" s="65"/>
      <c r="AA24" s="66"/>
      <c r="AB24" s="67">
        <v>1</v>
      </c>
      <c r="AC24" s="68"/>
      <c r="AD24" s="69">
        <v>1</v>
      </c>
      <c r="AE24" s="70"/>
      <c r="AF24" s="67"/>
      <c r="AG24" s="71"/>
      <c r="AH24" s="68"/>
      <c r="AI24" s="72"/>
      <c r="AJ24" s="73"/>
      <c r="AK24" s="65"/>
      <c r="AL24" s="66"/>
      <c r="AM24" s="67"/>
      <c r="AN24" s="68">
        <v>1</v>
      </c>
      <c r="AO24" s="69">
        <v>1</v>
      </c>
      <c r="AP24" s="70"/>
      <c r="AQ24" s="67"/>
      <c r="AR24" s="71"/>
      <c r="AS24" s="68"/>
      <c r="AT24" s="72"/>
      <c r="AU24" s="73"/>
      <c r="AV24" s="65"/>
      <c r="AW24" s="66"/>
      <c r="AX24" s="67"/>
      <c r="AY24" s="68">
        <v>1</v>
      </c>
      <c r="AZ24" s="69"/>
      <c r="BA24" s="70"/>
      <c r="BB24" s="67"/>
      <c r="BC24" s="71"/>
      <c r="BD24" s="68"/>
      <c r="BE24" s="72"/>
      <c r="BF24" s="73"/>
      <c r="BG24" s="65"/>
      <c r="BH24" s="66"/>
      <c r="BI24" s="67"/>
      <c r="BJ24" s="68">
        <v>1</v>
      </c>
      <c r="BK24" s="69"/>
      <c r="BL24" s="70"/>
      <c r="BM24" s="67"/>
      <c r="BN24" s="71"/>
      <c r="BO24" s="68"/>
      <c r="BP24" s="72"/>
      <c r="BQ24" s="73"/>
      <c r="BR24" s="65"/>
      <c r="BS24" s="66"/>
      <c r="BT24" s="67"/>
      <c r="BU24" s="68">
        <v>1</v>
      </c>
      <c r="BV24" s="69">
        <v>1</v>
      </c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>
        <v>1</v>
      </c>
      <c r="E25" s="66"/>
      <c r="F25" s="67"/>
      <c r="G25" s="68"/>
      <c r="H25" s="69">
        <v>1</v>
      </c>
      <c r="I25" s="70"/>
      <c r="J25" s="67"/>
      <c r="K25" s="71"/>
      <c r="L25" s="68"/>
      <c r="M25" s="72"/>
      <c r="N25" s="73"/>
      <c r="O25" s="65">
        <v>1</v>
      </c>
      <c r="P25" s="66"/>
      <c r="Q25" s="67">
        <v>1</v>
      </c>
      <c r="R25" s="68">
        <v>1</v>
      </c>
      <c r="S25" s="69"/>
      <c r="T25" s="70"/>
      <c r="U25" s="67"/>
      <c r="V25" s="71"/>
      <c r="W25" s="68"/>
      <c r="X25" s="72"/>
      <c r="Y25" s="73"/>
      <c r="Z25" s="65">
        <v>1</v>
      </c>
      <c r="AA25" s="66"/>
      <c r="AB25" s="67">
        <v>1</v>
      </c>
      <c r="AC25" s="68"/>
      <c r="AD25" s="69">
        <v>1</v>
      </c>
      <c r="AE25" s="70"/>
      <c r="AF25" s="67"/>
      <c r="AG25" s="71"/>
      <c r="AH25" s="68"/>
      <c r="AI25" s="72"/>
      <c r="AJ25" s="73"/>
      <c r="AK25" s="65">
        <v>1</v>
      </c>
      <c r="AL25" s="66"/>
      <c r="AM25" s="67"/>
      <c r="AN25" s="68">
        <v>1</v>
      </c>
      <c r="AO25" s="69">
        <v>1</v>
      </c>
      <c r="AP25" s="70"/>
      <c r="AQ25" s="67"/>
      <c r="AR25" s="71"/>
      <c r="AS25" s="68"/>
      <c r="AT25" s="72"/>
      <c r="AU25" s="73"/>
      <c r="AV25" s="65"/>
      <c r="AW25" s="66"/>
      <c r="AX25" s="67">
        <v>1</v>
      </c>
      <c r="AY25" s="68">
        <v>1</v>
      </c>
      <c r="AZ25" s="69">
        <v>1</v>
      </c>
      <c r="BA25" s="70"/>
      <c r="BB25" s="67"/>
      <c r="BC25" s="71"/>
      <c r="BD25" s="68"/>
      <c r="BE25" s="72"/>
      <c r="BF25" s="73"/>
      <c r="BG25" s="65"/>
      <c r="BH25" s="66"/>
      <c r="BI25" s="67">
        <v>1</v>
      </c>
      <c r="BJ25" s="68">
        <v>1</v>
      </c>
      <c r="BK25" s="69"/>
      <c r="BL25" s="70"/>
      <c r="BM25" s="67"/>
      <c r="BN25" s="71"/>
      <c r="BO25" s="68"/>
      <c r="BP25" s="72"/>
      <c r="BQ25" s="73"/>
      <c r="BR25" s="65"/>
      <c r="BS25" s="66"/>
      <c r="BT25" s="67"/>
      <c r="BU25" s="68">
        <v>1</v>
      </c>
      <c r="BV25" s="69">
        <v>1</v>
      </c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>
        <v>1</v>
      </c>
      <c r="E26" s="66"/>
      <c r="F26" s="67"/>
      <c r="G26" s="68"/>
      <c r="H26" s="69">
        <v>1</v>
      </c>
      <c r="I26" s="70"/>
      <c r="J26" s="67"/>
      <c r="K26" s="71"/>
      <c r="L26" s="68"/>
      <c r="M26" s="72"/>
      <c r="N26" s="73"/>
      <c r="O26" s="65">
        <v>1</v>
      </c>
      <c r="P26" s="66"/>
      <c r="Q26" s="67">
        <v>1</v>
      </c>
      <c r="R26" s="68">
        <v>1</v>
      </c>
      <c r="S26" s="69"/>
      <c r="T26" s="70"/>
      <c r="U26" s="67"/>
      <c r="V26" s="71"/>
      <c r="W26" s="68"/>
      <c r="X26" s="72"/>
      <c r="Y26" s="73"/>
      <c r="Z26" s="65">
        <v>1</v>
      </c>
      <c r="AA26" s="66"/>
      <c r="AB26" s="67">
        <v>1</v>
      </c>
      <c r="AC26" s="68"/>
      <c r="AD26" s="69">
        <v>1</v>
      </c>
      <c r="AE26" s="70"/>
      <c r="AF26" s="67"/>
      <c r="AG26" s="71"/>
      <c r="AH26" s="68"/>
      <c r="AI26" s="72"/>
      <c r="AJ26" s="73"/>
      <c r="AK26" s="65">
        <v>1</v>
      </c>
      <c r="AL26" s="66"/>
      <c r="AM26" s="67"/>
      <c r="AN26" s="68">
        <v>1</v>
      </c>
      <c r="AO26" s="69">
        <v>1</v>
      </c>
      <c r="AP26" s="70"/>
      <c r="AQ26" s="67"/>
      <c r="AR26" s="71"/>
      <c r="AS26" s="68"/>
      <c r="AT26" s="72"/>
      <c r="AU26" s="73"/>
      <c r="AV26" s="65"/>
      <c r="AW26" s="66"/>
      <c r="AX26" s="67">
        <v>1</v>
      </c>
      <c r="AY26" s="68">
        <v>1</v>
      </c>
      <c r="AZ26" s="69">
        <v>1</v>
      </c>
      <c r="BA26" s="70"/>
      <c r="BB26" s="67"/>
      <c r="BC26" s="71"/>
      <c r="BD26" s="68"/>
      <c r="BE26" s="72"/>
      <c r="BF26" s="73"/>
      <c r="BG26" s="65"/>
      <c r="BH26" s="66"/>
      <c r="BI26" s="67">
        <v>1</v>
      </c>
      <c r="BJ26" s="68">
        <v>1</v>
      </c>
      <c r="BK26" s="69"/>
      <c r="BL26" s="70"/>
      <c r="BM26" s="67"/>
      <c r="BN26" s="71"/>
      <c r="BO26" s="68"/>
      <c r="BP26" s="72"/>
      <c r="BQ26" s="73"/>
      <c r="BR26" s="65"/>
      <c r="BS26" s="66"/>
      <c r="BT26" s="67"/>
      <c r="BU26" s="68">
        <v>1</v>
      </c>
      <c r="BV26" s="69">
        <v>1</v>
      </c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>
        <v>1</v>
      </c>
      <c r="E27" s="66"/>
      <c r="F27" s="67"/>
      <c r="G27" s="68"/>
      <c r="H27" s="69">
        <v>1</v>
      </c>
      <c r="I27" s="70"/>
      <c r="J27" s="67"/>
      <c r="K27" s="71"/>
      <c r="L27" s="68"/>
      <c r="M27" s="72"/>
      <c r="N27" s="73"/>
      <c r="O27" s="65">
        <v>1</v>
      </c>
      <c r="P27" s="66"/>
      <c r="Q27" s="67">
        <v>1</v>
      </c>
      <c r="R27" s="68">
        <v>1</v>
      </c>
      <c r="S27" s="69"/>
      <c r="T27" s="70"/>
      <c r="U27" s="67"/>
      <c r="V27" s="71"/>
      <c r="W27" s="68"/>
      <c r="X27" s="72"/>
      <c r="Y27" s="73"/>
      <c r="Z27" s="65">
        <v>1</v>
      </c>
      <c r="AA27" s="66"/>
      <c r="AB27" s="67">
        <v>1</v>
      </c>
      <c r="AC27" s="68"/>
      <c r="AD27" s="69">
        <v>1</v>
      </c>
      <c r="AE27" s="70"/>
      <c r="AF27" s="67"/>
      <c r="AG27" s="71"/>
      <c r="AH27" s="68"/>
      <c r="AI27" s="72"/>
      <c r="AJ27" s="73"/>
      <c r="AK27" s="65">
        <v>1</v>
      </c>
      <c r="AL27" s="66"/>
      <c r="AM27" s="67"/>
      <c r="AN27" s="68">
        <v>1</v>
      </c>
      <c r="AO27" s="69"/>
      <c r="AP27" s="70"/>
      <c r="AQ27" s="67"/>
      <c r="AR27" s="71"/>
      <c r="AS27" s="68"/>
      <c r="AT27" s="72"/>
      <c r="AU27" s="73"/>
      <c r="AV27" s="65"/>
      <c r="AW27" s="66"/>
      <c r="AX27" s="67">
        <v>1</v>
      </c>
      <c r="AY27" s="68">
        <v>1</v>
      </c>
      <c r="AZ27" s="69">
        <v>1</v>
      </c>
      <c r="BA27" s="70"/>
      <c r="BB27" s="67"/>
      <c r="BC27" s="71"/>
      <c r="BD27" s="68"/>
      <c r="BE27" s="72"/>
      <c r="BF27" s="73"/>
      <c r="BG27" s="65"/>
      <c r="BH27" s="66"/>
      <c r="BI27" s="67">
        <v>1</v>
      </c>
      <c r="BJ27" s="68">
        <v>1</v>
      </c>
      <c r="BK27" s="69"/>
      <c r="BL27" s="70"/>
      <c r="BM27" s="67"/>
      <c r="BN27" s="71"/>
      <c r="BO27" s="68"/>
      <c r="BP27" s="72"/>
      <c r="BQ27" s="73"/>
      <c r="BR27" s="65"/>
      <c r="BS27" s="66"/>
      <c r="BT27" s="67"/>
      <c r="BU27" s="68">
        <v>1</v>
      </c>
      <c r="BV27" s="69">
        <v>1</v>
      </c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>
        <v>1</v>
      </c>
      <c r="E28" s="66"/>
      <c r="F28" s="67"/>
      <c r="G28" s="68"/>
      <c r="H28" s="69">
        <v>1</v>
      </c>
      <c r="I28" s="70"/>
      <c r="J28" s="67"/>
      <c r="K28" s="71"/>
      <c r="L28" s="68"/>
      <c r="M28" s="72"/>
      <c r="N28" s="73"/>
      <c r="O28" s="65">
        <v>1</v>
      </c>
      <c r="P28" s="66"/>
      <c r="Q28" s="67">
        <v>1</v>
      </c>
      <c r="R28" s="68">
        <v>1</v>
      </c>
      <c r="S28" s="69"/>
      <c r="T28" s="70"/>
      <c r="U28" s="67"/>
      <c r="V28" s="71"/>
      <c r="W28" s="68"/>
      <c r="X28" s="72"/>
      <c r="Y28" s="73"/>
      <c r="Z28" s="65">
        <v>1</v>
      </c>
      <c r="AA28" s="66"/>
      <c r="AB28" s="67">
        <v>1</v>
      </c>
      <c r="AC28" s="68"/>
      <c r="AD28" s="69">
        <v>1</v>
      </c>
      <c r="AE28" s="70"/>
      <c r="AF28" s="67"/>
      <c r="AG28" s="71"/>
      <c r="AH28" s="68"/>
      <c r="AI28" s="72"/>
      <c r="AJ28" s="73"/>
      <c r="AK28" s="65">
        <v>1</v>
      </c>
      <c r="AL28" s="66"/>
      <c r="AM28" s="67"/>
      <c r="AN28" s="68">
        <v>1</v>
      </c>
      <c r="AO28" s="71"/>
      <c r="AP28" s="71"/>
      <c r="AQ28" s="71"/>
      <c r="AR28" s="71"/>
      <c r="AS28" s="68"/>
      <c r="AT28" s="72"/>
      <c r="AU28" s="73"/>
      <c r="AV28" s="65"/>
      <c r="AW28" s="66"/>
      <c r="AX28" s="67">
        <v>1</v>
      </c>
      <c r="AY28" s="68">
        <v>1</v>
      </c>
      <c r="AZ28" s="69">
        <v>1</v>
      </c>
      <c r="BA28" s="70"/>
      <c r="BB28" s="67"/>
      <c r="BC28" s="71"/>
      <c r="BD28" s="68"/>
      <c r="BE28" s="72"/>
      <c r="BF28" s="73"/>
      <c r="BG28" s="65"/>
      <c r="BH28" s="66"/>
      <c r="BI28" s="67">
        <v>1</v>
      </c>
      <c r="BJ28" s="68">
        <v>1</v>
      </c>
      <c r="BK28" s="69"/>
      <c r="BL28" s="70"/>
      <c r="BM28" s="67"/>
      <c r="BN28" s="71"/>
      <c r="BO28" s="68"/>
      <c r="BP28" s="72"/>
      <c r="BQ28" s="73"/>
      <c r="BR28" s="65"/>
      <c r="BS28" s="66"/>
      <c r="BT28" s="67"/>
      <c r="BU28" s="68">
        <v>1</v>
      </c>
      <c r="BV28" s="69">
        <v>1</v>
      </c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20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21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22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23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24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25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26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ALEXA</v>
      </c>
      <c r="E33" s="31" t="str">
        <f t="shared" si="0"/>
        <v>ANAHY</v>
      </c>
      <c r="F33" s="32" t="str">
        <f t="shared" si="0"/>
        <v>MICHAEL</v>
      </c>
      <c r="G33" s="33" t="str">
        <f t="shared" si="0"/>
        <v>LINDSAY</v>
      </c>
      <c r="H33" s="34" t="str">
        <f t="shared" si="0"/>
        <v>MILA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ALEXA</v>
      </c>
      <c r="P33" s="31" t="str">
        <f t="shared" si="1"/>
        <v>ANAHY</v>
      </c>
      <c r="Q33" s="32" t="str">
        <f t="shared" si="1"/>
        <v>MICHAEL</v>
      </c>
      <c r="R33" s="33" t="str">
        <f t="shared" si="1"/>
        <v>LINDSAY</v>
      </c>
      <c r="S33" s="34" t="str">
        <f t="shared" si="1"/>
        <v>MILA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ALEXA</v>
      </c>
      <c r="AA33" s="31" t="str">
        <f t="shared" si="2"/>
        <v>ANAHY</v>
      </c>
      <c r="AB33" s="32" t="str">
        <f t="shared" si="2"/>
        <v>MICHAEL</v>
      </c>
      <c r="AC33" s="33" t="str">
        <f t="shared" si="2"/>
        <v>LINDSAY</v>
      </c>
      <c r="AD33" s="34" t="str">
        <f t="shared" si="2"/>
        <v>MILA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ALEXA</v>
      </c>
      <c r="AL33" s="31" t="str">
        <f t="shared" si="3"/>
        <v>ANAHY</v>
      </c>
      <c r="AM33" s="32" t="str">
        <f t="shared" si="3"/>
        <v>MICHAEL</v>
      </c>
      <c r="AN33" s="33" t="str">
        <f t="shared" si="3"/>
        <v>LINDSAY</v>
      </c>
      <c r="AO33" s="34" t="str">
        <f t="shared" si="3"/>
        <v>MILA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ALEXA</v>
      </c>
      <c r="AW33" s="31" t="str">
        <f t="shared" si="4"/>
        <v>ANAHY</v>
      </c>
      <c r="AX33" s="32" t="str">
        <f t="shared" si="4"/>
        <v>MICHAEL</v>
      </c>
      <c r="AY33" s="33" t="str">
        <f t="shared" si="4"/>
        <v>LINDSAY</v>
      </c>
      <c r="AZ33" s="34" t="str">
        <f t="shared" si="4"/>
        <v>MILA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ALEXA</v>
      </c>
      <c r="BH33" s="31" t="str">
        <f t="shared" si="5"/>
        <v>ANAHY</v>
      </c>
      <c r="BI33" s="32" t="str">
        <f t="shared" si="5"/>
        <v>MICHAEL</v>
      </c>
      <c r="BJ33" s="33" t="str">
        <f t="shared" si="5"/>
        <v>LINDSAY</v>
      </c>
      <c r="BK33" s="34" t="str">
        <f t="shared" si="5"/>
        <v>MILA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ALEXA</v>
      </c>
      <c r="BS33" s="31" t="str">
        <f t="shared" si="6"/>
        <v>ANAHY</v>
      </c>
      <c r="BT33" s="32" t="str">
        <f t="shared" si="6"/>
        <v>MICHAEL</v>
      </c>
      <c r="BU33" s="33" t="str">
        <f t="shared" si="6"/>
        <v>LINDSAY</v>
      </c>
      <c r="BV33" s="34" t="str">
        <f t="shared" si="6"/>
        <v>MILA</v>
      </c>
      <c r="BW33" s="35">
        <f t="shared" si="6"/>
        <v>0</v>
      </c>
      <c r="BX33" s="32">
        <f t="shared" si="6"/>
        <v>0</v>
      </c>
      <c r="BY33" s="36" t="str">
        <f t="shared" si="6"/>
        <v>BIANACA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6</v>
      </c>
      <c r="E34" s="48">
        <f t="shared" ref="E34:M34" si="7">SUM(E7:E30)</f>
        <v>4</v>
      </c>
      <c r="F34" s="49">
        <f t="shared" si="7"/>
        <v>0</v>
      </c>
      <c r="G34" s="50">
        <f t="shared" si="7"/>
        <v>0</v>
      </c>
      <c r="H34" s="51">
        <f t="shared" si="7"/>
        <v>10</v>
      </c>
      <c r="I34" s="52">
        <f t="shared" si="7"/>
        <v>0</v>
      </c>
      <c r="J34" s="49">
        <f t="shared" si="7"/>
        <v>0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5.5</v>
      </c>
      <c r="P34" s="48">
        <f t="shared" si="8"/>
        <v>5.5</v>
      </c>
      <c r="Q34" s="49">
        <f t="shared" si="8"/>
        <v>6.5</v>
      </c>
      <c r="R34" s="50">
        <f t="shared" si="8"/>
        <v>10.5</v>
      </c>
      <c r="S34" s="51">
        <f t="shared" si="8"/>
        <v>1.5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4</v>
      </c>
      <c r="AA34" s="48">
        <f t="shared" si="9"/>
        <v>0</v>
      </c>
      <c r="AB34" s="49">
        <f t="shared" si="9"/>
        <v>5</v>
      </c>
      <c r="AC34" s="50">
        <f t="shared" si="9"/>
        <v>4.5</v>
      </c>
      <c r="AD34" s="51">
        <f t="shared" si="9"/>
        <v>9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4</v>
      </c>
      <c r="AL34" s="48">
        <f t="shared" si="10"/>
        <v>0</v>
      </c>
      <c r="AM34" s="49">
        <f t="shared" si="10"/>
        <v>4</v>
      </c>
      <c r="AN34" s="50">
        <f t="shared" si="10"/>
        <v>8</v>
      </c>
      <c r="AO34" s="51">
        <f t="shared" si="10"/>
        <v>9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0</v>
      </c>
      <c r="AW34" s="48">
        <f t="shared" si="11"/>
        <v>4</v>
      </c>
      <c r="AX34" s="49">
        <f t="shared" si="11"/>
        <v>4</v>
      </c>
      <c r="AY34" s="50">
        <f t="shared" si="11"/>
        <v>9</v>
      </c>
      <c r="AZ34" s="51">
        <f t="shared" si="11"/>
        <v>5</v>
      </c>
      <c r="BA34" s="52">
        <f t="shared" si="11"/>
        <v>0</v>
      </c>
      <c r="BB34" s="49">
        <f t="shared" si="11"/>
        <v>0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0</v>
      </c>
      <c r="BH34" s="48">
        <f t="shared" si="12"/>
        <v>4</v>
      </c>
      <c r="BI34" s="49">
        <f t="shared" si="12"/>
        <v>4</v>
      </c>
      <c r="BJ34" s="50">
        <f t="shared" si="12"/>
        <v>9</v>
      </c>
      <c r="BK34" s="51">
        <f t="shared" si="12"/>
        <v>5.5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4</v>
      </c>
      <c r="BS34" s="48">
        <f t="shared" si="13"/>
        <v>6</v>
      </c>
      <c r="BT34" s="49">
        <f t="shared" si="13"/>
        <v>0</v>
      </c>
      <c r="BU34" s="50">
        <f t="shared" si="13"/>
        <v>7</v>
      </c>
      <c r="BV34" s="51">
        <f t="shared" si="13"/>
        <v>8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40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23.5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36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23.5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37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23.5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48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39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48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0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0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41:J41"/>
    <mergeCell ref="L41:N41"/>
    <mergeCell ref="B42:J42"/>
    <mergeCell ref="L42:N42"/>
    <mergeCell ref="B43:J43"/>
    <mergeCell ref="L43:N43"/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</mergeCells>
  <conditionalFormatting sqref="D7:M14 D29:M30">
    <cfRule type="expression" dxfId="272" priority="14">
      <formula>IF(OR(D7=0,D7=""),TRUE(),FALSE())</formula>
    </cfRule>
  </conditionalFormatting>
  <conditionalFormatting sqref="D15:M28">
    <cfRule type="expression" dxfId="271" priority="13">
      <formula>IF(OR(D15=0,D15=""),TRUE(),FALSE())</formula>
    </cfRule>
  </conditionalFormatting>
  <conditionalFormatting sqref="O7:X14 O29:X30">
    <cfRule type="expression" dxfId="270" priority="12">
      <formula>IF(OR(O7=0,O7=""),TRUE(),FALSE())</formula>
    </cfRule>
  </conditionalFormatting>
  <conditionalFormatting sqref="O15:X28">
    <cfRule type="expression" dxfId="269" priority="11">
      <formula>IF(OR(O15=0,O15=""),TRUE(),FALSE())</formula>
    </cfRule>
  </conditionalFormatting>
  <conditionalFormatting sqref="Z7:AI14 Z29:AI30">
    <cfRule type="expression" dxfId="268" priority="10">
      <formula>IF(OR(Z7=0,Z7=""),TRUE(),FALSE())</formula>
    </cfRule>
  </conditionalFormatting>
  <conditionalFormatting sqref="Z15:AI28">
    <cfRule type="expression" dxfId="267" priority="9">
      <formula>IF(OR(Z15=0,Z15=""),TRUE(),FALSE())</formula>
    </cfRule>
  </conditionalFormatting>
  <conditionalFormatting sqref="AK7:AT14 AK29:AT30">
    <cfRule type="expression" dxfId="266" priority="8">
      <formula>IF(OR(AK7=0,AK7=""),TRUE(),FALSE())</formula>
    </cfRule>
  </conditionalFormatting>
  <conditionalFormatting sqref="AK15:AT28">
    <cfRule type="expression" dxfId="265" priority="7">
      <formula>IF(OR(AK15=0,AK15=""),TRUE(),FALSE())</formula>
    </cfRule>
  </conditionalFormatting>
  <conditionalFormatting sqref="AV7:BE14 AV29:BE30">
    <cfRule type="expression" dxfId="264" priority="6">
      <formula>IF(OR(AV7=0,AV7=""),TRUE(),FALSE())</formula>
    </cfRule>
  </conditionalFormatting>
  <conditionalFormatting sqref="AV15:BE28">
    <cfRule type="expression" dxfId="263" priority="5">
      <formula>IF(OR(AV15=0,AV15=""),TRUE(),FALSE())</formula>
    </cfRule>
  </conditionalFormatting>
  <conditionalFormatting sqref="BG7:BP14 BG29:BP30">
    <cfRule type="expression" dxfId="262" priority="4">
      <formula>IF(OR(BG7=0,BG7=""),TRUE(),FALSE())</formula>
    </cfRule>
  </conditionalFormatting>
  <conditionalFormatting sqref="BG15:BP28">
    <cfRule type="expression" dxfId="261" priority="3">
      <formula>IF(OR(BG15=0,BG15=""),TRUE(),FALSE())</formula>
    </cfRule>
  </conditionalFormatting>
  <conditionalFormatting sqref="BR7:CA14 BR29:CA30">
    <cfRule type="expression" dxfId="260" priority="2">
      <formula>IF(OR(BR7=0,BR7=""),TRUE(),FALSE())</formula>
    </cfRule>
  </conditionalFormatting>
  <conditionalFormatting sqref="BR15:CA28">
    <cfRule type="expression" dxfId="259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776585C9-F0FD-4EFD-A39B-5D98AB5D3271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FC2D-7BF4-41B8-B06D-44D74FECD6BC}">
  <sheetPr codeName="Hoja11"/>
  <dimension ref="A1:CA48"/>
  <sheetViews>
    <sheetView showGridLines="0" zoomScale="70" zoomScaleNormal="70" workbookViewId="0">
      <pane xSplit="3" ySplit="6" topLeftCell="D13" activePane="bottomRight" state="frozen"/>
      <selection pane="topRight" activeCell="D1" sqref="D1"/>
      <selection pane="bottomLeft" activeCell="A8" sqref="A8"/>
      <selection pane="bottomRight" activeCell="BU22" sqref="BU22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27 DE MARZO AL 02 DE ABRIL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46108</v>
      </c>
      <c r="D5" s="63" t="str">
        <f>CONCATENATE("Lunes ",TEXT(DAY(C5),"00"))</f>
        <v>Lunes 27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28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29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30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31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01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02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38</v>
      </c>
      <c r="E6" s="9" t="s">
        <v>33</v>
      </c>
      <c r="F6" s="10" t="s">
        <v>31</v>
      </c>
      <c r="G6" s="11" t="s">
        <v>21</v>
      </c>
      <c r="H6" s="12" t="s">
        <v>13</v>
      </c>
      <c r="I6" s="13"/>
      <c r="J6" s="10"/>
      <c r="K6" s="14"/>
      <c r="L6" s="11"/>
      <c r="M6" s="15"/>
      <c r="O6" s="8" t="str">
        <f>D6</f>
        <v>ALEXA</v>
      </c>
      <c r="P6" s="9" t="str">
        <f>E6</f>
        <v>ANAHY</v>
      </c>
      <c r="Q6" s="10" t="str">
        <f>F6</f>
        <v>MICHAEL</v>
      </c>
      <c r="R6" s="11" t="str">
        <f>G6</f>
        <v>LINDSAY</v>
      </c>
      <c r="S6" s="12" t="str">
        <f>H6</f>
        <v>MILA</v>
      </c>
      <c r="T6" s="13"/>
      <c r="U6" s="10"/>
      <c r="V6" s="14"/>
      <c r="W6" s="11"/>
      <c r="X6" s="15"/>
      <c r="Z6" s="8" t="str">
        <f>O6</f>
        <v>ALEXA</v>
      </c>
      <c r="AA6" s="9" t="s">
        <v>33</v>
      </c>
      <c r="AB6" s="10" t="str">
        <f>Q6</f>
        <v>MICHAEL</v>
      </c>
      <c r="AC6" s="11" t="str">
        <f>R6</f>
        <v>LINDSAY</v>
      </c>
      <c r="AD6" s="12" t="str">
        <f>H6</f>
        <v>MILA</v>
      </c>
      <c r="AE6" s="13"/>
      <c r="AF6" s="10"/>
      <c r="AG6" s="14"/>
      <c r="AH6" s="11"/>
      <c r="AI6" s="15"/>
      <c r="AK6" s="8" t="str">
        <f>Z6</f>
        <v>ALEXA</v>
      </c>
      <c r="AL6" s="9" t="str">
        <f>AA6</f>
        <v>ANAHY</v>
      </c>
      <c r="AM6" s="10" t="str">
        <f>Q6</f>
        <v>MICHAEL</v>
      </c>
      <c r="AN6" s="11" t="str">
        <f>AC6</f>
        <v>LINDSAY</v>
      </c>
      <c r="AO6" s="12" t="str">
        <f>H6</f>
        <v>MILA</v>
      </c>
      <c r="AP6" s="13"/>
      <c r="AQ6" s="10"/>
      <c r="AR6" s="14"/>
      <c r="AS6" s="11"/>
      <c r="AT6" s="15"/>
      <c r="AV6" s="8" t="str">
        <f>AK6</f>
        <v>ALEXA</v>
      </c>
      <c r="AW6" s="9" t="s">
        <v>33</v>
      </c>
      <c r="AX6" s="10" t="str">
        <f>AB6</f>
        <v>MICHAEL</v>
      </c>
      <c r="AY6" s="11" t="str">
        <f>AN6</f>
        <v>LINDSAY</v>
      </c>
      <c r="AZ6" s="12" t="str">
        <f>H6</f>
        <v>MILA</v>
      </c>
      <c r="BA6" s="13"/>
      <c r="BB6" s="10"/>
      <c r="BC6" s="14"/>
      <c r="BD6" s="11"/>
      <c r="BE6" s="15"/>
      <c r="BG6" s="8" t="str">
        <f>AV6</f>
        <v>ALEXA</v>
      </c>
      <c r="BH6" s="9" t="s">
        <v>33</v>
      </c>
      <c r="BI6" s="10" t="str">
        <f>AX6</f>
        <v>MICHAEL</v>
      </c>
      <c r="BJ6" s="11" t="str">
        <f>AC6</f>
        <v>LINDSAY</v>
      </c>
      <c r="BK6" s="12" t="str">
        <f>S6</f>
        <v>MILA</v>
      </c>
      <c r="BL6" s="13"/>
      <c r="BM6" s="10"/>
      <c r="BN6" s="14"/>
      <c r="BO6" s="11"/>
      <c r="BP6" s="15"/>
      <c r="BR6" s="8" t="str">
        <f>AV6</f>
        <v>ALEXA</v>
      </c>
      <c r="BS6" s="9" t="str">
        <f>BH6</f>
        <v>ANAHY</v>
      </c>
      <c r="BT6" s="10" t="str">
        <f>AX6</f>
        <v>MICHAEL</v>
      </c>
      <c r="BU6" s="11" t="str">
        <f>BJ6</f>
        <v>LINDSAY</v>
      </c>
      <c r="BV6" s="12" t="s">
        <v>13</v>
      </c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/>
      <c r="BB14" s="18"/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>
        <v>1</v>
      </c>
      <c r="E15" s="66">
        <v>1</v>
      </c>
      <c r="F15" s="67">
        <v>1</v>
      </c>
      <c r="G15" s="68">
        <v>1</v>
      </c>
      <c r="H15" s="69">
        <v>1</v>
      </c>
      <c r="I15" s="70"/>
      <c r="J15" s="67"/>
      <c r="K15" s="71"/>
      <c r="L15" s="68"/>
      <c r="M15" s="72"/>
      <c r="N15" s="73"/>
      <c r="O15" s="65"/>
      <c r="P15" s="66"/>
      <c r="Q15" s="67"/>
      <c r="R15" s="68"/>
      <c r="S15" s="69"/>
      <c r="T15" s="70"/>
      <c r="U15" s="67"/>
      <c r="V15" s="71"/>
      <c r="W15" s="68"/>
      <c r="X15" s="72"/>
      <c r="Y15" s="73"/>
      <c r="Z15" s="65"/>
      <c r="AA15" s="66"/>
      <c r="AB15" s="67"/>
      <c r="AC15" s="68"/>
      <c r="AD15" s="69"/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/>
      <c r="BI15" s="67"/>
      <c r="BJ15" s="68"/>
      <c r="BK15" s="69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>
        <v>0.5</v>
      </c>
      <c r="E16" s="66">
        <v>0.5</v>
      </c>
      <c r="F16" s="67">
        <v>0.5</v>
      </c>
      <c r="G16" s="68">
        <v>0.5</v>
      </c>
      <c r="H16" s="69">
        <v>0.5</v>
      </c>
      <c r="I16" s="70">
        <v>0.5</v>
      </c>
      <c r="J16" s="67">
        <v>0.5</v>
      </c>
      <c r="K16" s="71"/>
      <c r="L16" s="68"/>
      <c r="M16" s="72"/>
      <c r="N16" s="73"/>
      <c r="O16" s="65"/>
      <c r="P16" s="66"/>
      <c r="Q16" s="67"/>
      <c r="R16" s="68"/>
      <c r="S16" s="69"/>
      <c r="T16" s="70"/>
      <c r="U16" s="67"/>
      <c r="V16" s="71"/>
      <c r="W16" s="68"/>
      <c r="X16" s="72"/>
      <c r="Y16" s="73"/>
      <c r="Z16" s="65"/>
      <c r="AA16" s="66"/>
      <c r="AB16" s="67"/>
      <c r="AC16" s="68"/>
      <c r="AD16" s="69"/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6"/>
      <c r="BI16" s="67"/>
      <c r="BJ16" s="68"/>
      <c r="BK16" s="69"/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>
        <v>1</v>
      </c>
      <c r="F17" s="67"/>
      <c r="G17" s="68"/>
      <c r="H17" s="69"/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/>
      <c r="S17" s="69"/>
      <c r="T17" s="70"/>
      <c r="U17" s="67"/>
      <c r="V17" s="71"/>
      <c r="W17" s="68"/>
      <c r="X17" s="72"/>
      <c r="Y17" s="73"/>
      <c r="Z17" s="65"/>
      <c r="AA17" s="66"/>
      <c r="AB17" s="67"/>
      <c r="AC17" s="68">
        <v>1</v>
      </c>
      <c r="AD17" s="69"/>
      <c r="AE17" s="70"/>
      <c r="AF17" s="67"/>
      <c r="AG17" s="71"/>
      <c r="AH17" s="68"/>
      <c r="AI17" s="72"/>
      <c r="AJ17" s="73"/>
      <c r="AK17" s="65"/>
      <c r="AL17" s="66"/>
      <c r="AM17" s="67">
        <v>1</v>
      </c>
      <c r="AN17" s="68"/>
      <c r="AO17" s="69">
        <v>1</v>
      </c>
      <c r="AP17" s="70"/>
      <c r="AQ17" s="67"/>
      <c r="AR17" s="71"/>
      <c r="AS17" s="68"/>
      <c r="AT17" s="72"/>
      <c r="AU17" s="73"/>
      <c r="AV17" s="65"/>
      <c r="AW17" s="66">
        <v>1</v>
      </c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>
        <v>1</v>
      </c>
      <c r="BI17" s="67"/>
      <c r="BJ17" s="68"/>
      <c r="BK17" s="69">
        <v>1</v>
      </c>
      <c r="BL17" s="70"/>
      <c r="BM17" s="67"/>
      <c r="BN17" s="71"/>
      <c r="BO17" s="68"/>
      <c r="BP17" s="72"/>
      <c r="BQ17" s="73"/>
      <c r="BR17" s="65"/>
      <c r="BS17" s="66"/>
      <c r="BT17" s="67">
        <v>1</v>
      </c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>
        <v>1</v>
      </c>
      <c r="F18" s="67"/>
      <c r="G18" s="68"/>
      <c r="H18" s="69">
        <v>1</v>
      </c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/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>
        <v>1</v>
      </c>
      <c r="AD18" s="69"/>
      <c r="AE18" s="70"/>
      <c r="AF18" s="67"/>
      <c r="AG18" s="71"/>
      <c r="AH18" s="68"/>
      <c r="AI18" s="72"/>
      <c r="AJ18" s="73"/>
      <c r="AK18" s="65"/>
      <c r="AL18" s="66"/>
      <c r="AM18" s="67">
        <v>1</v>
      </c>
      <c r="AN18" s="68"/>
      <c r="AO18" s="69">
        <v>1</v>
      </c>
      <c r="AP18" s="70"/>
      <c r="AQ18" s="67"/>
      <c r="AR18" s="71"/>
      <c r="AS18" s="68"/>
      <c r="AT18" s="72"/>
      <c r="AU18" s="73"/>
      <c r="AV18" s="65"/>
      <c r="AW18" s="66">
        <v>1</v>
      </c>
      <c r="AX18" s="67"/>
      <c r="AY18" s="68"/>
      <c r="AZ18" s="69"/>
      <c r="BA18" s="70"/>
      <c r="BB18" s="67"/>
      <c r="BC18" s="71"/>
      <c r="BD18" s="68"/>
      <c r="BE18" s="72"/>
      <c r="BF18" s="73"/>
      <c r="BG18" s="65"/>
      <c r="BH18" s="66">
        <v>1</v>
      </c>
      <c r="BI18" s="67"/>
      <c r="BJ18" s="68"/>
      <c r="BK18" s="69">
        <v>1</v>
      </c>
      <c r="BL18" s="70"/>
      <c r="BM18" s="67"/>
      <c r="BN18" s="71"/>
      <c r="BO18" s="68"/>
      <c r="BP18" s="72"/>
      <c r="BQ18" s="73"/>
      <c r="BR18" s="65"/>
      <c r="BS18" s="66"/>
      <c r="BT18" s="67">
        <v>1</v>
      </c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>
        <v>1</v>
      </c>
      <c r="F19" s="67"/>
      <c r="G19" s="68"/>
      <c r="H19" s="69">
        <v>1</v>
      </c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>
        <v>1</v>
      </c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>
        <v>1</v>
      </c>
      <c r="AD19" s="69">
        <v>1</v>
      </c>
      <c r="AE19" s="70"/>
      <c r="AF19" s="67"/>
      <c r="AG19" s="71"/>
      <c r="AH19" s="68"/>
      <c r="AI19" s="72"/>
      <c r="AJ19" s="73"/>
      <c r="AK19" s="65"/>
      <c r="AL19" s="66"/>
      <c r="AM19" s="67"/>
      <c r="AN19" s="68">
        <v>1</v>
      </c>
      <c r="AO19" s="69">
        <v>1</v>
      </c>
      <c r="AP19" s="70"/>
      <c r="AQ19" s="67"/>
      <c r="AR19" s="71"/>
      <c r="AS19" s="68"/>
      <c r="AT19" s="72"/>
      <c r="AU19" s="73"/>
      <c r="AV19" s="65"/>
      <c r="AW19" s="66">
        <v>1</v>
      </c>
      <c r="AX19" s="67"/>
      <c r="AY19" s="68">
        <v>1</v>
      </c>
      <c r="AZ19" s="69"/>
      <c r="BA19" s="70"/>
      <c r="BB19" s="67"/>
      <c r="BC19" s="71"/>
      <c r="BD19" s="68"/>
      <c r="BE19" s="72"/>
      <c r="BF19" s="73"/>
      <c r="BG19" s="65"/>
      <c r="BH19" s="66">
        <v>1</v>
      </c>
      <c r="BI19" s="67"/>
      <c r="BJ19" s="68">
        <v>1</v>
      </c>
      <c r="BK19" s="69">
        <v>1</v>
      </c>
      <c r="BL19" s="70"/>
      <c r="BM19" s="67"/>
      <c r="BN19" s="71"/>
      <c r="BO19" s="68"/>
      <c r="BP19" s="72"/>
      <c r="BQ19" s="73"/>
      <c r="BR19" s="65">
        <v>1</v>
      </c>
      <c r="BS19" s="66"/>
      <c r="BT19" s="67"/>
      <c r="BU19" s="68"/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/>
      <c r="F20" s="67"/>
      <c r="G20" s="68"/>
      <c r="H20" s="69">
        <v>1</v>
      </c>
      <c r="I20" s="70"/>
      <c r="J20" s="67"/>
      <c r="K20" s="71"/>
      <c r="L20" s="68"/>
      <c r="M20" s="72"/>
      <c r="N20" s="74"/>
      <c r="O20" s="65"/>
      <c r="P20" s="66"/>
      <c r="Q20" s="67"/>
      <c r="R20" s="68">
        <v>1</v>
      </c>
      <c r="S20" s="69"/>
      <c r="T20" s="70"/>
      <c r="U20" s="67"/>
      <c r="V20" s="71"/>
      <c r="W20" s="68"/>
      <c r="X20" s="72"/>
      <c r="Y20" s="74"/>
      <c r="Z20" s="65"/>
      <c r="AA20" s="66"/>
      <c r="AB20" s="67"/>
      <c r="AC20" s="68">
        <v>1</v>
      </c>
      <c r="AD20" s="69"/>
      <c r="AE20" s="70"/>
      <c r="AF20" s="67"/>
      <c r="AG20" s="71"/>
      <c r="AH20" s="68"/>
      <c r="AI20" s="72"/>
      <c r="AJ20" s="74"/>
      <c r="AK20" s="65"/>
      <c r="AL20" s="66"/>
      <c r="AM20" s="67">
        <v>1</v>
      </c>
      <c r="AN20" s="68">
        <v>1</v>
      </c>
      <c r="AO20" s="69"/>
      <c r="AP20" s="70"/>
      <c r="AQ20" s="67"/>
      <c r="AR20" s="71"/>
      <c r="AS20" s="68"/>
      <c r="AT20" s="72"/>
      <c r="AU20" s="74"/>
      <c r="AV20" s="65"/>
      <c r="AW20" s="66"/>
      <c r="AX20" s="67"/>
      <c r="AY20" s="68">
        <v>1</v>
      </c>
      <c r="AZ20" s="69"/>
      <c r="BA20" s="70"/>
      <c r="BB20" s="67"/>
      <c r="BC20" s="71"/>
      <c r="BD20" s="68"/>
      <c r="BE20" s="72"/>
      <c r="BF20" s="74"/>
      <c r="BG20" s="65"/>
      <c r="BH20" s="66">
        <v>1</v>
      </c>
      <c r="BI20" s="67"/>
      <c r="BJ20" s="68">
        <v>1</v>
      </c>
      <c r="BK20" s="69"/>
      <c r="BL20" s="70"/>
      <c r="BM20" s="67"/>
      <c r="BN20" s="71"/>
      <c r="BO20" s="68"/>
      <c r="BP20" s="72"/>
      <c r="BQ20" s="74"/>
      <c r="BR20" s="65"/>
      <c r="BS20" s="66"/>
      <c r="BT20" s="67">
        <v>1</v>
      </c>
      <c r="BU20" s="68"/>
      <c r="BV20" s="69">
        <v>1</v>
      </c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>
        <v>1</v>
      </c>
      <c r="F21" s="67"/>
      <c r="G21" s="68"/>
      <c r="H21" s="69"/>
      <c r="I21" s="70"/>
      <c r="J21" s="67"/>
      <c r="K21" s="71"/>
      <c r="L21" s="68"/>
      <c r="M21" s="72"/>
      <c r="N21" s="73"/>
      <c r="O21" s="65"/>
      <c r="P21" s="66">
        <v>1</v>
      </c>
      <c r="Q21" s="67"/>
      <c r="R21" s="68"/>
      <c r="S21" s="69"/>
      <c r="T21" s="70"/>
      <c r="U21" s="67"/>
      <c r="V21" s="71"/>
      <c r="W21" s="68"/>
      <c r="X21" s="72"/>
      <c r="Y21" s="73"/>
      <c r="Z21" s="65"/>
      <c r="AA21" s="66"/>
      <c r="AB21" s="67"/>
      <c r="AC21" s="68">
        <v>0.5</v>
      </c>
      <c r="AD21" s="69">
        <v>1</v>
      </c>
      <c r="AE21" s="70"/>
      <c r="AF21" s="67"/>
      <c r="AG21" s="71"/>
      <c r="AH21" s="68"/>
      <c r="AI21" s="72"/>
      <c r="AJ21" s="73"/>
      <c r="AK21" s="65"/>
      <c r="AL21" s="66"/>
      <c r="AM21" s="67">
        <v>1</v>
      </c>
      <c r="AN21" s="68"/>
      <c r="AO21" s="69">
        <v>1</v>
      </c>
      <c r="AP21" s="70"/>
      <c r="AQ21" s="67"/>
      <c r="AR21" s="71"/>
      <c r="AS21" s="68"/>
      <c r="AT21" s="72"/>
      <c r="AU21" s="73"/>
      <c r="AV21" s="65"/>
      <c r="AW21" s="66">
        <v>1</v>
      </c>
      <c r="AX21" s="67"/>
      <c r="AY21" s="68"/>
      <c r="AZ21" s="69"/>
      <c r="BA21" s="70"/>
      <c r="BB21" s="67"/>
      <c r="BC21" s="71"/>
      <c r="BD21" s="68"/>
      <c r="BE21" s="72"/>
      <c r="BF21" s="73"/>
      <c r="BG21" s="65"/>
      <c r="BH21" s="66"/>
      <c r="BI21" s="67"/>
      <c r="BJ21" s="68"/>
      <c r="BK21" s="69">
        <v>1</v>
      </c>
      <c r="BL21" s="70"/>
      <c r="BM21" s="67"/>
      <c r="BN21" s="71"/>
      <c r="BO21" s="68"/>
      <c r="BP21" s="72"/>
      <c r="BQ21" s="73"/>
      <c r="BR21" s="65">
        <v>1</v>
      </c>
      <c r="BS21" s="66"/>
      <c r="BT21" s="67">
        <v>1</v>
      </c>
      <c r="BU21" s="68"/>
      <c r="BV21" s="69"/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/>
      <c r="G22" s="68"/>
      <c r="H22" s="69">
        <v>1</v>
      </c>
      <c r="I22" s="70"/>
      <c r="J22" s="67"/>
      <c r="K22" s="71"/>
      <c r="L22" s="68"/>
      <c r="M22" s="72"/>
      <c r="N22" s="73"/>
      <c r="O22" s="65"/>
      <c r="P22" s="66"/>
      <c r="Q22" s="67"/>
      <c r="R22" s="68">
        <v>1</v>
      </c>
      <c r="S22" s="69"/>
      <c r="T22" s="70"/>
      <c r="U22" s="67"/>
      <c r="V22" s="71"/>
      <c r="W22" s="68"/>
      <c r="X22" s="72"/>
      <c r="Y22" s="73"/>
      <c r="Z22" s="65"/>
      <c r="AA22" s="66"/>
      <c r="AB22" s="67"/>
      <c r="AC22" s="68"/>
      <c r="AD22" s="69">
        <v>1</v>
      </c>
      <c r="AE22" s="70"/>
      <c r="AF22" s="67"/>
      <c r="AG22" s="71"/>
      <c r="AH22" s="68"/>
      <c r="AI22" s="72"/>
      <c r="AJ22" s="73"/>
      <c r="AK22" s="65"/>
      <c r="AL22" s="66"/>
      <c r="AM22" s="67"/>
      <c r="AN22" s="68">
        <v>1</v>
      </c>
      <c r="AO22" s="69">
        <v>1</v>
      </c>
      <c r="AP22" s="70"/>
      <c r="AQ22" s="67"/>
      <c r="AR22" s="71"/>
      <c r="AS22" s="68"/>
      <c r="AT22" s="72"/>
      <c r="AU22" s="73"/>
      <c r="AV22" s="65"/>
      <c r="AW22" s="66"/>
      <c r="AX22" s="67"/>
      <c r="AY22" s="68">
        <v>1</v>
      </c>
      <c r="AZ22" s="69">
        <v>1</v>
      </c>
      <c r="BA22" s="70"/>
      <c r="BB22" s="67"/>
      <c r="BC22" s="71"/>
      <c r="BD22" s="68"/>
      <c r="BE22" s="72"/>
      <c r="BF22" s="73"/>
      <c r="BG22" s="65"/>
      <c r="BH22" s="66"/>
      <c r="BI22" s="67"/>
      <c r="BJ22" s="68">
        <v>1</v>
      </c>
      <c r="BK22" s="69">
        <v>1</v>
      </c>
      <c r="BL22" s="70"/>
      <c r="BM22" s="67"/>
      <c r="BN22" s="71"/>
      <c r="BO22" s="68"/>
      <c r="BP22" s="72"/>
      <c r="BQ22" s="73"/>
      <c r="BR22" s="65">
        <v>1</v>
      </c>
      <c r="BS22" s="66">
        <v>1</v>
      </c>
      <c r="BT22" s="67">
        <v>1</v>
      </c>
      <c r="BU22" s="68">
        <v>1</v>
      </c>
      <c r="BV22" s="69">
        <v>1</v>
      </c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>
        <v>1</v>
      </c>
      <c r="E23" s="66"/>
      <c r="F23" s="67"/>
      <c r="G23" s="68"/>
      <c r="H23" s="69">
        <v>1</v>
      </c>
      <c r="I23" s="70"/>
      <c r="J23" s="67"/>
      <c r="K23" s="71"/>
      <c r="L23" s="68"/>
      <c r="M23" s="72"/>
      <c r="N23" s="73"/>
      <c r="O23" s="65"/>
      <c r="P23" s="66"/>
      <c r="Q23" s="67"/>
      <c r="R23" s="68">
        <v>1</v>
      </c>
      <c r="S23" s="69"/>
      <c r="T23" s="70"/>
      <c r="U23" s="67"/>
      <c r="V23" s="71"/>
      <c r="W23" s="68"/>
      <c r="X23" s="72"/>
      <c r="Y23" s="73"/>
      <c r="Z23" s="65"/>
      <c r="AA23" s="66"/>
      <c r="AB23" s="67"/>
      <c r="AC23" s="68"/>
      <c r="AD23" s="69">
        <v>1</v>
      </c>
      <c r="AE23" s="70"/>
      <c r="AF23" s="67"/>
      <c r="AG23" s="71"/>
      <c r="AH23" s="68"/>
      <c r="AI23" s="72"/>
      <c r="AJ23" s="73"/>
      <c r="AK23" s="65"/>
      <c r="AL23" s="66"/>
      <c r="AM23" s="67"/>
      <c r="AN23" s="68">
        <v>1</v>
      </c>
      <c r="AO23" s="69">
        <v>1</v>
      </c>
      <c r="AP23" s="70"/>
      <c r="AQ23" s="67"/>
      <c r="AR23" s="71"/>
      <c r="AS23" s="68"/>
      <c r="AT23" s="72"/>
      <c r="AU23" s="73"/>
      <c r="AV23" s="65"/>
      <c r="AW23" s="66"/>
      <c r="AX23" s="67"/>
      <c r="AY23" s="68">
        <v>1</v>
      </c>
      <c r="AZ23" s="69"/>
      <c r="BA23" s="70"/>
      <c r="BB23" s="67"/>
      <c r="BC23" s="71"/>
      <c r="BD23" s="68"/>
      <c r="BE23" s="72"/>
      <c r="BF23" s="73"/>
      <c r="BG23" s="65">
        <v>1</v>
      </c>
      <c r="BH23" s="66"/>
      <c r="BI23" s="67"/>
      <c r="BJ23" s="68">
        <v>1</v>
      </c>
      <c r="BK23" s="69">
        <v>0.5</v>
      </c>
      <c r="BL23" s="70"/>
      <c r="BM23" s="67"/>
      <c r="BN23" s="71"/>
      <c r="BO23" s="68"/>
      <c r="BP23" s="72"/>
      <c r="BQ23" s="73"/>
      <c r="BR23" s="65">
        <v>1</v>
      </c>
      <c r="BS23" s="66"/>
      <c r="BT23" s="67">
        <v>1</v>
      </c>
      <c r="BU23" s="68"/>
      <c r="BV23" s="69">
        <v>1</v>
      </c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/>
      <c r="E24" s="66"/>
      <c r="F24" s="67"/>
      <c r="G24" s="68"/>
      <c r="H24" s="69">
        <v>1</v>
      </c>
      <c r="I24" s="70"/>
      <c r="J24" s="67"/>
      <c r="K24" s="71"/>
      <c r="L24" s="68"/>
      <c r="M24" s="72"/>
      <c r="N24" s="73"/>
      <c r="O24" s="65"/>
      <c r="P24" s="66"/>
      <c r="Q24" s="67">
        <v>1</v>
      </c>
      <c r="R24" s="68">
        <v>1</v>
      </c>
      <c r="S24" s="69"/>
      <c r="T24" s="70"/>
      <c r="U24" s="67"/>
      <c r="V24" s="71"/>
      <c r="W24" s="68"/>
      <c r="X24" s="72"/>
      <c r="Y24" s="73"/>
      <c r="Z24" s="65">
        <v>1</v>
      </c>
      <c r="AA24" s="66"/>
      <c r="AB24" s="67">
        <v>1</v>
      </c>
      <c r="AC24" s="68"/>
      <c r="AD24" s="69">
        <v>1</v>
      </c>
      <c r="AE24" s="70"/>
      <c r="AF24" s="67"/>
      <c r="AG24" s="71"/>
      <c r="AH24" s="68"/>
      <c r="AI24" s="72"/>
      <c r="AJ24" s="73"/>
      <c r="AK24" s="65"/>
      <c r="AL24" s="66"/>
      <c r="AM24" s="67"/>
      <c r="AN24" s="68">
        <v>1</v>
      </c>
      <c r="AO24" s="69">
        <v>1</v>
      </c>
      <c r="AP24" s="70"/>
      <c r="AQ24" s="67"/>
      <c r="AR24" s="71"/>
      <c r="AS24" s="68"/>
      <c r="AT24" s="72"/>
      <c r="AU24" s="73"/>
      <c r="AV24" s="65"/>
      <c r="AW24" s="66"/>
      <c r="AX24" s="67"/>
      <c r="AY24" s="68">
        <v>1</v>
      </c>
      <c r="AZ24" s="69">
        <v>1</v>
      </c>
      <c r="BA24" s="70"/>
      <c r="BB24" s="67"/>
      <c r="BC24" s="71"/>
      <c r="BD24" s="68"/>
      <c r="BE24" s="72"/>
      <c r="BF24" s="73"/>
      <c r="BG24" s="65"/>
      <c r="BH24" s="66"/>
      <c r="BI24" s="67"/>
      <c r="BJ24" s="68">
        <v>1</v>
      </c>
      <c r="BK24" s="69"/>
      <c r="BL24" s="70"/>
      <c r="BM24" s="67"/>
      <c r="BN24" s="71"/>
      <c r="BO24" s="68"/>
      <c r="BP24" s="72"/>
      <c r="BQ24" s="73"/>
      <c r="BR24" s="65"/>
      <c r="BS24" s="66">
        <v>1</v>
      </c>
      <c r="BT24" s="67"/>
      <c r="BU24" s="68">
        <v>1</v>
      </c>
      <c r="BV24" s="69">
        <v>1</v>
      </c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>
        <v>1</v>
      </c>
      <c r="E25" s="66"/>
      <c r="F25" s="67"/>
      <c r="G25" s="68"/>
      <c r="H25" s="69">
        <v>1</v>
      </c>
      <c r="I25" s="70"/>
      <c r="J25" s="67"/>
      <c r="K25" s="71"/>
      <c r="L25" s="68"/>
      <c r="M25" s="72"/>
      <c r="N25" s="73"/>
      <c r="O25" s="65"/>
      <c r="P25" s="66"/>
      <c r="Q25" s="67"/>
      <c r="R25" s="68">
        <v>1</v>
      </c>
      <c r="S25" s="69"/>
      <c r="T25" s="70"/>
      <c r="U25" s="67"/>
      <c r="V25" s="71"/>
      <c r="W25" s="68"/>
      <c r="X25" s="72"/>
      <c r="Y25" s="73"/>
      <c r="Z25" s="65">
        <v>1</v>
      </c>
      <c r="AA25" s="66"/>
      <c r="AB25" s="67"/>
      <c r="AC25" s="68"/>
      <c r="AD25" s="69">
        <v>1</v>
      </c>
      <c r="AE25" s="70"/>
      <c r="AF25" s="67"/>
      <c r="AG25" s="71"/>
      <c r="AH25" s="68"/>
      <c r="AI25" s="72"/>
      <c r="AJ25" s="73"/>
      <c r="AK25" s="65">
        <v>1</v>
      </c>
      <c r="AL25" s="66"/>
      <c r="AM25" s="67"/>
      <c r="AN25" s="68">
        <v>1</v>
      </c>
      <c r="AO25" s="69">
        <v>1</v>
      </c>
      <c r="AP25" s="70"/>
      <c r="AQ25" s="67"/>
      <c r="AR25" s="71"/>
      <c r="AS25" s="68"/>
      <c r="AT25" s="72"/>
      <c r="AU25" s="73"/>
      <c r="AV25" s="65"/>
      <c r="AW25" s="66"/>
      <c r="AX25" s="67">
        <v>1</v>
      </c>
      <c r="AY25" s="68">
        <v>1</v>
      </c>
      <c r="AZ25" s="69">
        <v>1</v>
      </c>
      <c r="BA25" s="70"/>
      <c r="BB25" s="67"/>
      <c r="BC25" s="71"/>
      <c r="BD25" s="68"/>
      <c r="BE25" s="72"/>
      <c r="BF25" s="73"/>
      <c r="BG25" s="65">
        <v>1</v>
      </c>
      <c r="BH25" s="66"/>
      <c r="BI25" s="67"/>
      <c r="BJ25" s="68">
        <v>1</v>
      </c>
      <c r="BK25" s="69"/>
      <c r="BL25" s="70"/>
      <c r="BM25" s="67"/>
      <c r="BN25" s="71"/>
      <c r="BO25" s="68"/>
      <c r="BP25" s="72"/>
      <c r="BQ25" s="73"/>
      <c r="BR25" s="65"/>
      <c r="BS25" s="66">
        <v>1</v>
      </c>
      <c r="BT25" s="67"/>
      <c r="BU25" s="68">
        <v>1</v>
      </c>
      <c r="BV25" s="69">
        <v>1</v>
      </c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>
        <v>1</v>
      </c>
      <c r="E26" s="66"/>
      <c r="F26" s="67"/>
      <c r="G26" s="68"/>
      <c r="H26" s="69">
        <v>1</v>
      </c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>
        <v>1</v>
      </c>
      <c r="S26" s="69"/>
      <c r="T26" s="70"/>
      <c r="U26" s="67"/>
      <c r="V26" s="71"/>
      <c r="W26" s="68"/>
      <c r="X26" s="72"/>
      <c r="Y26" s="73"/>
      <c r="Z26" s="65">
        <v>1</v>
      </c>
      <c r="AA26" s="66"/>
      <c r="AB26" s="67">
        <v>1</v>
      </c>
      <c r="AC26" s="68"/>
      <c r="AD26" s="69">
        <v>1</v>
      </c>
      <c r="AE26" s="70"/>
      <c r="AF26" s="67"/>
      <c r="AG26" s="71"/>
      <c r="AH26" s="68"/>
      <c r="AI26" s="72"/>
      <c r="AJ26" s="73"/>
      <c r="AK26" s="65">
        <v>1</v>
      </c>
      <c r="AL26" s="66"/>
      <c r="AM26" s="67"/>
      <c r="AN26" s="68">
        <v>1</v>
      </c>
      <c r="AO26" s="69"/>
      <c r="AP26" s="70"/>
      <c r="AQ26" s="67"/>
      <c r="AR26" s="71"/>
      <c r="AS26" s="68"/>
      <c r="AT26" s="72"/>
      <c r="AU26" s="73"/>
      <c r="AV26" s="65"/>
      <c r="AW26" s="66"/>
      <c r="AX26" s="67">
        <v>1</v>
      </c>
      <c r="AY26" s="68">
        <v>1</v>
      </c>
      <c r="AZ26" s="69">
        <v>1</v>
      </c>
      <c r="BA26" s="70"/>
      <c r="BB26" s="67"/>
      <c r="BC26" s="71"/>
      <c r="BD26" s="68"/>
      <c r="BE26" s="72"/>
      <c r="BF26" s="73"/>
      <c r="BG26" s="65">
        <v>1</v>
      </c>
      <c r="BH26" s="66"/>
      <c r="BI26" s="67"/>
      <c r="BJ26" s="68">
        <v>1</v>
      </c>
      <c r="BK26" s="69"/>
      <c r="BL26" s="70"/>
      <c r="BM26" s="67"/>
      <c r="BN26" s="71"/>
      <c r="BO26" s="68"/>
      <c r="BP26" s="72"/>
      <c r="BQ26" s="73"/>
      <c r="BR26" s="65"/>
      <c r="BS26" s="66">
        <v>1</v>
      </c>
      <c r="BT26" s="67"/>
      <c r="BU26" s="68">
        <v>1</v>
      </c>
      <c r="BV26" s="69">
        <v>1</v>
      </c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>
        <v>1</v>
      </c>
      <c r="E27" s="66"/>
      <c r="F27" s="67"/>
      <c r="G27" s="68"/>
      <c r="H27" s="69">
        <v>1</v>
      </c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>
        <v>1</v>
      </c>
      <c r="S27" s="69"/>
      <c r="T27" s="70"/>
      <c r="U27" s="67"/>
      <c r="V27" s="71"/>
      <c r="W27" s="68"/>
      <c r="X27" s="72"/>
      <c r="Y27" s="73"/>
      <c r="Z27" s="65">
        <v>1</v>
      </c>
      <c r="AA27" s="66"/>
      <c r="AB27" s="67">
        <v>1</v>
      </c>
      <c r="AC27" s="68"/>
      <c r="AD27" s="69">
        <v>1</v>
      </c>
      <c r="AE27" s="70"/>
      <c r="AF27" s="67"/>
      <c r="AG27" s="71"/>
      <c r="AH27" s="68"/>
      <c r="AI27" s="72"/>
      <c r="AJ27" s="73"/>
      <c r="AK27" s="65">
        <v>1</v>
      </c>
      <c r="AL27" s="66"/>
      <c r="AM27" s="67"/>
      <c r="AN27" s="68">
        <v>1</v>
      </c>
      <c r="AO27" s="69"/>
      <c r="AP27" s="70"/>
      <c r="AQ27" s="67"/>
      <c r="AR27" s="71"/>
      <c r="AS27" s="68"/>
      <c r="AT27" s="72"/>
      <c r="AU27" s="73"/>
      <c r="AV27" s="65"/>
      <c r="AW27" s="66"/>
      <c r="AX27" s="67">
        <v>1</v>
      </c>
      <c r="AY27" s="68">
        <v>1</v>
      </c>
      <c r="AZ27" s="69">
        <v>1</v>
      </c>
      <c r="BA27" s="70"/>
      <c r="BB27" s="67"/>
      <c r="BC27" s="71"/>
      <c r="BD27" s="68"/>
      <c r="BE27" s="72"/>
      <c r="BF27" s="73"/>
      <c r="BG27" s="65">
        <v>1</v>
      </c>
      <c r="BH27" s="66"/>
      <c r="BI27" s="67"/>
      <c r="BJ27" s="68">
        <v>1</v>
      </c>
      <c r="BK27" s="69"/>
      <c r="BL27" s="70"/>
      <c r="BM27" s="67"/>
      <c r="BN27" s="71"/>
      <c r="BO27" s="68"/>
      <c r="BP27" s="72"/>
      <c r="BQ27" s="73"/>
      <c r="BR27" s="65"/>
      <c r="BS27" s="66">
        <v>1</v>
      </c>
      <c r="BT27" s="67"/>
      <c r="BU27" s="68">
        <v>1</v>
      </c>
      <c r="BV27" s="69">
        <v>1</v>
      </c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>
        <v>1</v>
      </c>
      <c r="E28" s="66"/>
      <c r="F28" s="67"/>
      <c r="G28" s="68"/>
      <c r="H28" s="69">
        <v>1</v>
      </c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>
        <v>1</v>
      </c>
      <c r="S28" s="69"/>
      <c r="T28" s="70"/>
      <c r="U28" s="67"/>
      <c r="V28" s="71"/>
      <c r="W28" s="68"/>
      <c r="X28" s="72"/>
      <c r="Y28" s="73"/>
      <c r="Z28" s="65"/>
      <c r="AA28" s="66"/>
      <c r="AB28" s="67">
        <v>1</v>
      </c>
      <c r="AC28" s="68"/>
      <c r="AD28" s="69">
        <v>1</v>
      </c>
      <c r="AE28" s="70"/>
      <c r="AF28" s="67"/>
      <c r="AG28" s="71"/>
      <c r="AH28" s="68"/>
      <c r="AI28" s="72"/>
      <c r="AJ28" s="73"/>
      <c r="AK28" s="65">
        <v>1</v>
      </c>
      <c r="AL28" s="66"/>
      <c r="AM28" s="67"/>
      <c r="AN28" s="68">
        <v>1</v>
      </c>
      <c r="AO28" s="71"/>
      <c r="AP28" s="71"/>
      <c r="AQ28" s="71"/>
      <c r="AR28" s="71"/>
      <c r="AS28" s="68"/>
      <c r="AT28" s="72"/>
      <c r="AU28" s="73"/>
      <c r="AV28" s="65"/>
      <c r="AW28" s="66"/>
      <c r="AX28" s="67">
        <v>1</v>
      </c>
      <c r="AY28" s="68">
        <v>1</v>
      </c>
      <c r="AZ28" s="69">
        <v>1</v>
      </c>
      <c r="BA28" s="70"/>
      <c r="BB28" s="67"/>
      <c r="BC28" s="71"/>
      <c r="BD28" s="68"/>
      <c r="BE28" s="72"/>
      <c r="BF28" s="73"/>
      <c r="BG28" s="65">
        <v>1</v>
      </c>
      <c r="BH28" s="66"/>
      <c r="BI28" s="67"/>
      <c r="BJ28" s="68">
        <v>1</v>
      </c>
      <c r="BK28" s="69"/>
      <c r="BL28" s="70"/>
      <c r="BM28" s="67"/>
      <c r="BN28" s="71"/>
      <c r="BO28" s="68"/>
      <c r="BP28" s="72"/>
      <c r="BQ28" s="73"/>
      <c r="BR28" s="65"/>
      <c r="BS28" s="66">
        <v>1</v>
      </c>
      <c r="BT28" s="67"/>
      <c r="BU28" s="68">
        <v>1</v>
      </c>
      <c r="BV28" s="69">
        <v>1</v>
      </c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27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28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29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30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31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01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02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ALEXA</v>
      </c>
      <c r="E33" s="31" t="str">
        <f t="shared" si="0"/>
        <v>ANAHY</v>
      </c>
      <c r="F33" s="32" t="str">
        <f t="shared" si="0"/>
        <v>MICHAEL</v>
      </c>
      <c r="G33" s="33" t="str">
        <f t="shared" si="0"/>
        <v>LINDSAY</v>
      </c>
      <c r="H33" s="34" t="str">
        <f t="shared" si="0"/>
        <v>MILA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ALEXA</v>
      </c>
      <c r="P33" s="31" t="str">
        <f t="shared" si="1"/>
        <v>ANAHY</v>
      </c>
      <c r="Q33" s="32" t="str">
        <f t="shared" si="1"/>
        <v>MICHAEL</v>
      </c>
      <c r="R33" s="33" t="str">
        <f t="shared" si="1"/>
        <v>LINDSAY</v>
      </c>
      <c r="S33" s="34" t="str">
        <f t="shared" si="1"/>
        <v>MILA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ALEXA</v>
      </c>
      <c r="AA33" s="31" t="str">
        <f t="shared" si="2"/>
        <v>ANAHY</v>
      </c>
      <c r="AB33" s="32" t="str">
        <f t="shared" si="2"/>
        <v>MICHAEL</v>
      </c>
      <c r="AC33" s="33" t="str">
        <f t="shared" si="2"/>
        <v>LINDSAY</v>
      </c>
      <c r="AD33" s="34" t="str">
        <f t="shared" si="2"/>
        <v>MILA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ALEXA</v>
      </c>
      <c r="AL33" s="31" t="str">
        <f t="shared" si="3"/>
        <v>ANAHY</v>
      </c>
      <c r="AM33" s="32" t="str">
        <f t="shared" si="3"/>
        <v>MICHAEL</v>
      </c>
      <c r="AN33" s="33" t="str">
        <f t="shared" si="3"/>
        <v>LINDSAY</v>
      </c>
      <c r="AO33" s="34" t="str">
        <f t="shared" si="3"/>
        <v>MILA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ALEXA</v>
      </c>
      <c r="AW33" s="31" t="str">
        <f t="shared" si="4"/>
        <v>ANAHY</v>
      </c>
      <c r="AX33" s="32" t="str">
        <f t="shared" si="4"/>
        <v>MICHAEL</v>
      </c>
      <c r="AY33" s="33" t="str">
        <f t="shared" si="4"/>
        <v>LINDSAY</v>
      </c>
      <c r="AZ33" s="34" t="str">
        <f t="shared" si="4"/>
        <v>MILA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ALEXA</v>
      </c>
      <c r="BH33" s="31" t="str">
        <f t="shared" si="5"/>
        <v>ANAHY</v>
      </c>
      <c r="BI33" s="32" t="str">
        <f t="shared" si="5"/>
        <v>MICHAEL</v>
      </c>
      <c r="BJ33" s="33" t="str">
        <f t="shared" si="5"/>
        <v>LINDSAY</v>
      </c>
      <c r="BK33" s="34" t="str">
        <f t="shared" si="5"/>
        <v>MILA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ALEXA</v>
      </c>
      <c r="BS33" s="31" t="str">
        <f t="shared" si="6"/>
        <v>ANAHY</v>
      </c>
      <c r="BT33" s="32" t="str">
        <f t="shared" si="6"/>
        <v>MICHAEL</v>
      </c>
      <c r="BU33" s="33" t="str">
        <f t="shared" si="6"/>
        <v>LINDSAY</v>
      </c>
      <c r="BV33" s="34" t="str">
        <f t="shared" si="6"/>
        <v>MILA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6.5</v>
      </c>
      <c r="E34" s="48">
        <f t="shared" ref="E34:M34" si="7">SUM(E7:E30)</f>
        <v>5.5</v>
      </c>
      <c r="F34" s="49">
        <f t="shared" si="7"/>
        <v>1.5</v>
      </c>
      <c r="G34" s="50">
        <f t="shared" si="7"/>
        <v>1.5</v>
      </c>
      <c r="H34" s="51">
        <f t="shared" si="7"/>
        <v>11.5</v>
      </c>
      <c r="I34" s="52">
        <f t="shared" si="7"/>
        <v>0.5</v>
      </c>
      <c r="J34" s="49">
        <f t="shared" si="7"/>
        <v>0.5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0</v>
      </c>
      <c r="P34" s="48">
        <f t="shared" si="8"/>
        <v>4</v>
      </c>
      <c r="Q34" s="49">
        <f t="shared" si="8"/>
        <v>4</v>
      </c>
      <c r="R34" s="50">
        <f t="shared" si="8"/>
        <v>9</v>
      </c>
      <c r="S34" s="51">
        <f t="shared" si="8"/>
        <v>0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4</v>
      </c>
      <c r="AA34" s="48">
        <f t="shared" si="9"/>
        <v>0</v>
      </c>
      <c r="AB34" s="49">
        <f t="shared" si="9"/>
        <v>4</v>
      </c>
      <c r="AC34" s="50">
        <f t="shared" si="9"/>
        <v>4.5</v>
      </c>
      <c r="AD34" s="51">
        <f t="shared" si="9"/>
        <v>9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4</v>
      </c>
      <c r="AL34" s="48">
        <f t="shared" si="10"/>
        <v>0</v>
      </c>
      <c r="AM34" s="49">
        <f t="shared" si="10"/>
        <v>4</v>
      </c>
      <c r="AN34" s="50">
        <f t="shared" si="10"/>
        <v>9</v>
      </c>
      <c r="AO34" s="51">
        <f t="shared" si="10"/>
        <v>8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0</v>
      </c>
      <c r="AW34" s="48">
        <f t="shared" si="11"/>
        <v>4</v>
      </c>
      <c r="AX34" s="49">
        <f t="shared" si="11"/>
        <v>4</v>
      </c>
      <c r="AY34" s="50">
        <f t="shared" si="11"/>
        <v>9</v>
      </c>
      <c r="AZ34" s="51">
        <f t="shared" si="11"/>
        <v>6</v>
      </c>
      <c r="BA34" s="52">
        <f t="shared" si="11"/>
        <v>0</v>
      </c>
      <c r="BB34" s="49">
        <f t="shared" si="11"/>
        <v>0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5</v>
      </c>
      <c r="BH34" s="48">
        <f t="shared" si="12"/>
        <v>4</v>
      </c>
      <c r="BI34" s="49">
        <f t="shared" si="12"/>
        <v>0</v>
      </c>
      <c r="BJ34" s="50">
        <f t="shared" si="12"/>
        <v>9</v>
      </c>
      <c r="BK34" s="51">
        <f t="shared" si="12"/>
        <v>5.5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4</v>
      </c>
      <c r="BS34" s="48">
        <f t="shared" si="13"/>
        <v>6</v>
      </c>
      <c r="BT34" s="49">
        <f t="shared" si="13"/>
        <v>6</v>
      </c>
      <c r="BU34" s="50">
        <f t="shared" si="13"/>
        <v>6</v>
      </c>
      <c r="BV34" s="51">
        <f t="shared" si="13"/>
        <v>8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40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23.5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36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23.5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37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23.5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48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39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48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0.5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0.5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41:J41"/>
    <mergeCell ref="L41:N41"/>
    <mergeCell ref="B42:J42"/>
    <mergeCell ref="L42:N42"/>
    <mergeCell ref="B43:J43"/>
    <mergeCell ref="L43:N43"/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</mergeCells>
  <conditionalFormatting sqref="D7:M14 D29:M30">
    <cfRule type="expression" dxfId="258" priority="14">
      <formula>IF(OR(D7=0,D7=""),TRUE(),FALSE())</formula>
    </cfRule>
  </conditionalFormatting>
  <conditionalFormatting sqref="D15:M28">
    <cfRule type="expression" dxfId="257" priority="13">
      <formula>IF(OR(D15=0,D15=""),TRUE(),FALSE())</formula>
    </cfRule>
  </conditionalFormatting>
  <conditionalFormatting sqref="O7:X14 O29:X30">
    <cfRule type="expression" dxfId="256" priority="12">
      <formula>IF(OR(O7=0,O7=""),TRUE(),FALSE())</formula>
    </cfRule>
  </conditionalFormatting>
  <conditionalFormatting sqref="O15:X28">
    <cfRule type="expression" dxfId="255" priority="11">
      <formula>IF(OR(O15=0,O15=""),TRUE(),FALSE())</formula>
    </cfRule>
  </conditionalFormatting>
  <conditionalFormatting sqref="Z7:AI14 Z29:AI30">
    <cfRule type="expression" dxfId="254" priority="10">
      <formula>IF(OR(Z7=0,Z7=""),TRUE(),FALSE())</formula>
    </cfRule>
  </conditionalFormatting>
  <conditionalFormatting sqref="Z15:AI28">
    <cfRule type="expression" dxfId="253" priority="9">
      <formula>IF(OR(Z15=0,Z15=""),TRUE(),FALSE())</formula>
    </cfRule>
  </conditionalFormatting>
  <conditionalFormatting sqref="AK7:AT14 AK29:AT30">
    <cfRule type="expression" dxfId="252" priority="8">
      <formula>IF(OR(AK7=0,AK7=""),TRUE(),FALSE())</formula>
    </cfRule>
  </conditionalFormatting>
  <conditionalFormatting sqref="AK15:AT28">
    <cfRule type="expression" dxfId="251" priority="7">
      <formula>IF(OR(AK15=0,AK15=""),TRUE(),FALSE())</formula>
    </cfRule>
  </conditionalFormatting>
  <conditionalFormatting sqref="AV7:BE14 AV29:BE30">
    <cfRule type="expression" dxfId="250" priority="6">
      <formula>IF(OR(AV7=0,AV7=""),TRUE(),FALSE())</formula>
    </cfRule>
  </conditionalFormatting>
  <conditionalFormatting sqref="AV15:BE28">
    <cfRule type="expression" dxfId="249" priority="5">
      <formula>IF(OR(AV15=0,AV15=""),TRUE(),FALSE())</formula>
    </cfRule>
  </conditionalFormatting>
  <conditionalFormatting sqref="BG7:BP14 BG29:BP30">
    <cfRule type="expression" dxfId="248" priority="4">
      <formula>IF(OR(BG7=0,BG7=""),TRUE(),FALSE())</formula>
    </cfRule>
  </conditionalFormatting>
  <conditionalFormatting sqref="BG15:BP28">
    <cfRule type="expression" dxfId="247" priority="3">
      <formula>IF(OR(BG15=0,BG15=""),TRUE(),FALSE())</formula>
    </cfRule>
  </conditionalFormatting>
  <conditionalFormatting sqref="BR7:CA14 BR29:CA30">
    <cfRule type="expression" dxfId="246" priority="2">
      <formula>IF(OR(BR7=0,BR7=""),TRUE(),FALSE())</formula>
    </cfRule>
  </conditionalFormatting>
  <conditionalFormatting sqref="BR15:CA28">
    <cfRule type="expression" dxfId="245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AF609C61-12BF-43DA-BB43-96879534A4D0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33248-D932-4705-9C5D-81EF7E89FDB6}">
  <sheetPr codeName="Hoja10"/>
  <dimension ref="A1:CA48"/>
  <sheetViews>
    <sheetView showGridLines="0" zoomScale="55" zoomScaleNormal="55" workbookViewId="0">
      <pane xSplit="3" ySplit="6" topLeftCell="E16" activePane="bottomRight" state="frozen"/>
      <selection pane="topRight" activeCell="D1" sqref="D1"/>
      <selection pane="bottomLeft" activeCell="A8" sqref="A8"/>
      <selection pane="bottomRight" activeCell="BS23" sqref="BS23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04 DE MAYO AL 10 DE MAYO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46146</v>
      </c>
      <c r="D5" s="63" t="str">
        <f>CONCATENATE("Lunes ",TEXT(DAY(C5),"00"))</f>
        <v>Lunes 04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05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06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07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08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09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10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38</v>
      </c>
      <c r="E6" s="9" t="s">
        <v>33</v>
      </c>
      <c r="F6" s="10" t="s">
        <v>31</v>
      </c>
      <c r="G6" s="11" t="s">
        <v>21</v>
      </c>
      <c r="H6" s="12" t="s">
        <v>13</v>
      </c>
      <c r="I6" s="13"/>
      <c r="J6" s="10"/>
      <c r="K6" s="14"/>
      <c r="L6" s="11"/>
      <c r="M6" s="15"/>
      <c r="O6" s="8" t="str">
        <f>D6</f>
        <v>ALEXA</v>
      </c>
      <c r="P6" s="9" t="str">
        <f>E6</f>
        <v>ANAHY</v>
      </c>
      <c r="Q6" s="10" t="str">
        <f>F6</f>
        <v>MICHAEL</v>
      </c>
      <c r="R6" s="11" t="str">
        <f>G6</f>
        <v>LINDSAY</v>
      </c>
      <c r="S6" s="12" t="str">
        <f>H6</f>
        <v>MILA</v>
      </c>
      <c r="T6" s="13"/>
      <c r="U6" s="10"/>
      <c r="V6" s="14"/>
      <c r="W6" s="11"/>
      <c r="X6" s="15"/>
      <c r="Z6" s="8" t="str">
        <f>O6</f>
        <v>ALEXA</v>
      </c>
      <c r="AA6" s="9" t="s">
        <v>33</v>
      </c>
      <c r="AB6" s="10" t="str">
        <f>Q6</f>
        <v>MICHAEL</v>
      </c>
      <c r="AC6" s="11" t="str">
        <f>R6</f>
        <v>LINDSAY</v>
      </c>
      <c r="AD6" s="12" t="str">
        <f>H6</f>
        <v>MILA</v>
      </c>
      <c r="AE6" s="13"/>
      <c r="AF6" s="10"/>
      <c r="AG6" s="14"/>
      <c r="AH6" s="11"/>
      <c r="AI6" s="15"/>
      <c r="AK6" s="8" t="str">
        <f>Z6</f>
        <v>ALEXA</v>
      </c>
      <c r="AL6" s="9" t="str">
        <f>AA6</f>
        <v>ANAHY</v>
      </c>
      <c r="AM6" s="10" t="str">
        <f>Q6</f>
        <v>MICHAEL</v>
      </c>
      <c r="AN6" s="11" t="str">
        <f>AC6</f>
        <v>LINDSAY</v>
      </c>
      <c r="AO6" s="12" t="str">
        <f>H6</f>
        <v>MILA</v>
      </c>
      <c r="AP6" s="13"/>
      <c r="AQ6" s="10"/>
      <c r="AR6" s="14"/>
      <c r="AS6" s="11"/>
      <c r="AT6" s="15"/>
      <c r="AV6" s="8" t="str">
        <f>AK6</f>
        <v>ALEXA</v>
      </c>
      <c r="AW6" s="9" t="s">
        <v>33</v>
      </c>
      <c r="AX6" s="10" t="str">
        <f>AB6</f>
        <v>MICHAEL</v>
      </c>
      <c r="AY6" s="11" t="str">
        <f>AN6</f>
        <v>LINDSAY</v>
      </c>
      <c r="AZ6" s="12" t="str">
        <f>H6</f>
        <v>MILA</v>
      </c>
      <c r="BA6" s="13"/>
      <c r="BB6" s="10"/>
      <c r="BC6" s="14"/>
      <c r="BD6" s="11"/>
      <c r="BE6" s="15"/>
      <c r="BG6" s="8" t="str">
        <f>AV6</f>
        <v>ALEXA</v>
      </c>
      <c r="BH6" s="9" t="s">
        <v>33</v>
      </c>
      <c r="BI6" s="10" t="str">
        <f>AX6</f>
        <v>MICHAEL</v>
      </c>
      <c r="BJ6" s="11" t="str">
        <f>AC6</f>
        <v>LINDSAY</v>
      </c>
      <c r="BK6" s="12" t="str">
        <f>S6</f>
        <v>MILA</v>
      </c>
      <c r="BL6" s="13"/>
      <c r="BM6" s="10"/>
      <c r="BN6" s="14"/>
      <c r="BO6" s="11"/>
      <c r="BP6" s="15"/>
      <c r="BR6" s="8" t="str">
        <f>AV6</f>
        <v>ALEXA</v>
      </c>
      <c r="BS6" s="9" t="str">
        <f>BH6</f>
        <v>ANAHY</v>
      </c>
      <c r="BT6" s="10" t="str">
        <f>AX6</f>
        <v>MICHAEL</v>
      </c>
      <c r="BU6" s="11" t="str">
        <f>BJ6</f>
        <v>LINDSAY</v>
      </c>
      <c r="BV6" s="12" t="s">
        <v>13</v>
      </c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/>
      <c r="BB14" s="18"/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/>
      <c r="H15" s="69"/>
      <c r="I15" s="70"/>
      <c r="J15" s="67"/>
      <c r="K15" s="71"/>
      <c r="L15" s="68"/>
      <c r="M15" s="72"/>
      <c r="N15" s="73"/>
      <c r="O15" s="65"/>
      <c r="P15" s="66"/>
      <c r="Q15" s="67"/>
      <c r="R15" s="68"/>
      <c r="S15" s="69"/>
      <c r="T15" s="70"/>
      <c r="U15" s="67"/>
      <c r="V15" s="71"/>
      <c r="W15" s="68"/>
      <c r="X15" s="72"/>
      <c r="Y15" s="73"/>
      <c r="Z15" s="65"/>
      <c r="AA15" s="66"/>
      <c r="AB15" s="67"/>
      <c r="AC15" s="68"/>
      <c r="AD15" s="69"/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/>
      <c r="BI15" s="67"/>
      <c r="BJ15" s="68"/>
      <c r="BK15" s="69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/>
      <c r="F16" s="67"/>
      <c r="G16" s="68"/>
      <c r="H16" s="69"/>
      <c r="I16" s="70">
        <v>0.5</v>
      </c>
      <c r="J16" s="67">
        <v>0.5</v>
      </c>
      <c r="K16" s="71"/>
      <c r="L16" s="68"/>
      <c r="M16" s="72"/>
      <c r="N16" s="73"/>
      <c r="O16" s="65"/>
      <c r="P16" s="66"/>
      <c r="Q16" s="67"/>
      <c r="R16" s="68">
        <v>1</v>
      </c>
      <c r="S16" s="69">
        <v>1</v>
      </c>
      <c r="T16" s="70"/>
      <c r="U16" s="67"/>
      <c r="V16" s="71"/>
      <c r="W16" s="68"/>
      <c r="X16" s="72"/>
      <c r="Y16" s="73"/>
      <c r="Z16" s="65"/>
      <c r="AA16" s="66"/>
      <c r="AB16" s="67"/>
      <c r="AC16" s="68"/>
      <c r="AD16" s="69"/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6"/>
      <c r="BI16" s="67"/>
      <c r="BJ16" s="68"/>
      <c r="BK16" s="69"/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>
        <v>1</v>
      </c>
      <c r="F17" s="67"/>
      <c r="G17" s="68"/>
      <c r="H17" s="69">
        <v>1</v>
      </c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>
        <v>0.5</v>
      </c>
      <c r="S17" s="69">
        <v>0.5</v>
      </c>
      <c r="T17" s="70"/>
      <c r="U17" s="67"/>
      <c r="V17" s="71"/>
      <c r="W17" s="68"/>
      <c r="X17" s="72"/>
      <c r="Y17" s="73"/>
      <c r="Z17" s="65"/>
      <c r="AA17" s="66"/>
      <c r="AB17" s="67"/>
      <c r="AC17" s="68"/>
      <c r="AD17" s="69">
        <v>1</v>
      </c>
      <c r="AE17" s="70"/>
      <c r="AF17" s="67"/>
      <c r="AG17" s="71"/>
      <c r="AH17" s="68"/>
      <c r="AI17" s="72"/>
      <c r="AJ17" s="73"/>
      <c r="AK17" s="65"/>
      <c r="AL17" s="66">
        <v>1</v>
      </c>
      <c r="AM17" s="67">
        <v>1</v>
      </c>
      <c r="AN17" s="68"/>
      <c r="AO17" s="69">
        <v>1</v>
      </c>
      <c r="AP17" s="70"/>
      <c r="AQ17" s="67"/>
      <c r="AR17" s="71"/>
      <c r="AS17" s="68"/>
      <c r="AT17" s="72"/>
      <c r="AU17" s="73"/>
      <c r="AV17" s="65"/>
      <c r="AW17" s="66">
        <v>1</v>
      </c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>
        <v>1</v>
      </c>
      <c r="BI17" s="67">
        <v>1</v>
      </c>
      <c r="BJ17" s="68"/>
      <c r="BK17" s="69">
        <v>1</v>
      </c>
      <c r="BL17" s="70"/>
      <c r="BM17" s="67"/>
      <c r="BN17" s="71"/>
      <c r="BO17" s="68"/>
      <c r="BP17" s="72"/>
      <c r="BQ17" s="73"/>
      <c r="BR17" s="65">
        <v>1</v>
      </c>
      <c r="BS17" s="66"/>
      <c r="BT17" s="67"/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>
        <v>1</v>
      </c>
      <c r="F18" s="67"/>
      <c r="G18" s="68"/>
      <c r="H18" s="69">
        <v>1</v>
      </c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/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>
        <v>1</v>
      </c>
      <c r="AD18" s="69">
        <v>1</v>
      </c>
      <c r="AE18" s="70"/>
      <c r="AF18" s="67"/>
      <c r="AG18" s="71"/>
      <c r="AH18" s="68"/>
      <c r="AI18" s="72"/>
      <c r="AJ18" s="73"/>
      <c r="AK18" s="65"/>
      <c r="AL18" s="66">
        <v>1</v>
      </c>
      <c r="AM18" s="67">
        <v>1</v>
      </c>
      <c r="AN18" s="68">
        <v>1</v>
      </c>
      <c r="AO18" s="69">
        <v>1</v>
      </c>
      <c r="AP18" s="70"/>
      <c r="AQ18" s="67"/>
      <c r="AR18" s="71"/>
      <c r="AS18" s="68"/>
      <c r="AT18" s="72"/>
      <c r="AU18" s="73"/>
      <c r="AV18" s="65"/>
      <c r="AW18" s="66">
        <v>1</v>
      </c>
      <c r="AX18" s="67"/>
      <c r="AY18" s="68">
        <v>1</v>
      </c>
      <c r="AZ18" s="69"/>
      <c r="BA18" s="70"/>
      <c r="BB18" s="67"/>
      <c r="BC18" s="71"/>
      <c r="BD18" s="68"/>
      <c r="BE18" s="72"/>
      <c r="BF18" s="73"/>
      <c r="BG18" s="65"/>
      <c r="BH18" s="66">
        <v>1</v>
      </c>
      <c r="BI18" s="67">
        <v>1</v>
      </c>
      <c r="BJ18" s="68"/>
      <c r="BK18" s="69">
        <v>1</v>
      </c>
      <c r="BL18" s="70"/>
      <c r="BM18" s="67"/>
      <c r="BN18" s="71"/>
      <c r="BO18" s="68"/>
      <c r="BP18" s="72"/>
      <c r="BQ18" s="73"/>
      <c r="BR18" s="65">
        <v>1</v>
      </c>
      <c r="BS18" s="66"/>
      <c r="BT18" s="67">
        <v>1</v>
      </c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/>
      <c r="F19" s="67"/>
      <c r="G19" s="68"/>
      <c r="H19" s="69">
        <v>1</v>
      </c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>
        <v>1</v>
      </c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>
        <v>1</v>
      </c>
      <c r="AD19" s="69">
        <v>1</v>
      </c>
      <c r="AE19" s="70"/>
      <c r="AF19" s="67"/>
      <c r="AG19" s="71"/>
      <c r="AH19" s="68"/>
      <c r="AI19" s="72"/>
      <c r="AJ19" s="73"/>
      <c r="AK19" s="65"/>
      <c r="AL19" s="66"/>
      <c r="AM19" s="67">
        <v>1</v>
      </c>
      <c r="AN19" s="68">
        <v>1</v>
      </c>
      <c r="AO19" s="69">
        <v>1</v>
      </c>
      <c r="AP19" s="70"/>
      <c r="AQ19" s="67"/>
      <c r="AR19" s="71"/>
      <c r="AS19" s="68"/>
      <c r="AT19" s="72"/>
      <c r="AU19" s="73"/>
      <c r="AV19" s="65"/>
      <c r="AW19" s="66">
        <v>1</v>
      </c>
      <c r="AX19" s="67"/>
      <c r="AY19" s="68">
        <v>1</v>
      </c>
      <c r="AZ19" s="69"/>
      <c r="BA19" s="70"/>
      <c r="BB19" s="67"/>
      <c r="BC19" s="71"/>
      <c r="BD19" s="68"/>
      <c r="BE19" s="72"/>
      <c r="BF19" s="73"/>
      <c r="BG19" s="65"/>
      <c r="BH19" s="66">
        <v>1</v>
      </c>
      <c r="BI19" s="67"/>
      <c r="BJ19" s="68">
        <v>1</v>
      </c>
      <c r="BK19" s="69">
        <v>1</v>
      </c>
      <c r="BL19" s="70"/>
      <c r="BM19" s="67"/>
      <c r="BN19" s="71"/>
      <c r="BO19" s="68"/>
      <c r="BP19" s="72"/>
      <c r="BQ19" s="73"/>
      <c r="BR19" s="65"/>
      <c r="BS19" s="66"/>
      <c r="BT19" s="67"/>
      <c r="BU19" s="68">
        <v>1</v>
      </c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>
        <v>1</v>
      </c>
      <c r="F20" s="67"/>
      <c r="G20" s="68"/>
      <c r="H20" s="69"/>
      <c r="I20" s="70"/>
      <c r="J20" s="67"/>
      <c r="K20" s="71"/>
      <c r="L20" s="68"/>
      <c r="M20" s="72"/>
      <c r="N20" s="74"/>
      <c r="O20" s="65"/>
      <c r="P20" s="66"/>
      <c r="Q20" s="67"/>
      <c r="R20" s="68"/>
      <c r="S20" s="69"/>
      <c r="T20" s="70"/>
      <c r="U20" s="67"/>
      <c r="V20" s="71"/>
      <c r="W20" s="68"/>
      <c r="X20" s="72"/>
      <c r="Y20" s="74"/>
      <c r="Z20" s="65"/>
      <c r="AA20" s="66"/>
      <c r="AB20" s="67"/>
      <c r="AC20" s="68">
        <v>1</v>
      </c>
      <c r="AD20" s="69">
        <v>1</v>
      </c>
      <c r="AE20" s="70"/>
      <c r="AF20" s="67"/>
      <c r="AG20" s="71"/>
      <c r="AH20" s="68"/>
      <c r="AI20" s="72"/>
      <c r="AJ20" s="74"/>
      <c r="AK20" s="65"/>
      <c r="AL20" s="66">
        <v>1</v>
      </c>
      <c r="AM20" s="67"/>
      <c r="AN20" s="68">
        <v>1</v>
      </c>
      <c r="AO20" s="69"/>
      <c r="AP20" s="70"/>
      <c r="AQ20" s="67"/>
      <c r="AR20" s="71"/>
      <c r="AS20" s="68"/>
      <c r="AT20" s="72"/>
      <c r="AU20" s="74"/>
      <c r="AV20" s="65"/>
      <c r="AW20" s="66"/>
      <c r="AX20" s="67">
        <v>1</v>
      </c>
      <c r="AY20" s="68">
        <v>1</v>
      </c>
      <c r="AZ20" s="69"/>
      <c r="BA20" s="70"/>
      <c r="BB20" s="67"/>
      <c r="BC20" s="71"/>
      <c r="BD20" s="68"/>
      <c r="BE20" s="72"/>
      <c r="BF20" s="74"/>
      <c r="BG20" s="65">
        <v>1</v>
      </c>
      <c r="BH20" s="66"/>
      <c r="BI20" s="67">
        <v>1</v>
      </c>
      <c r="BJ20" s="68">
        <v>1</v>
      </c>
      <c r="BK20" s="69"/>
      <c r="BL20" s="70"/>
      <c r="BM20" s="67"/>
      <c r="BN20" s="71"/>
      <c r="BO20" s="68"/>
      <c r="BP20" s="72"/>
      <c r="BQ20" s="74"/>
      <c r="BR20" s="65">
        <v>1</v>
      </c>
      <c r="BS20" s="66"/>
      <c r="BT20" s="67">
        <v>1</v>
      </c>
      <c r="BU20" s="68">
        <v>1</v>
      </c>
      <c r="BV20" s="69"/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>
        <v>1</v>
      </c>
      <c r="F21" s="67"/>
      <c r="G21" s="68"/>
      <c r="H21" s="69">
        <v>1</v>
      </c>
      <c r="I21" s="70"/>
      <c r="J21" s="67"/>
      <c r="K21" s="71"/>
      <c r="L21" s="68"/>
      <c r="M21" s="72"/>
      <c r="N21" s="73"/>
      <c r="O21" s="65"/>
      <c r="P21" s="66">
        <v>1</v>
      </c>
      <c r="Q21" s="67"/>
      <c r="R21" s="68">
        <v>1</v>
      </c>
      <c r="S21" s="69"/>
      <c r="T21" s="70"/>
      <c r="U21" s="67"/>
      <c r="V21" s="71"/>
      <c r="W21" s="68"/>
      <c r="X21" s="72"/>
      <c r="Y21" s="73"/>
      <c r="Z21" s="65"/>
      <c r="AA21" s="66"/>
      <c r="AB21" s="67"/>
      <c r="AC21" s="68">
        <v>1</v>
      </c>
      <c r="AD21" s="69"/>
      <c r="AE21" s="70"/>
      <c r="AF21" s="67"/>
      <c r="AG21" s="71"/>
      <c r="AH21" s="68"/>
      <c r="AI21" s="72"/>
      <c r="AJ21" s="73"/>
      <c r="AK21" s="65"/>
      <c r="AL21" s="66">
        <v>1</v>
      </c>
      <c r="AM21" s="67">
        <v>1</v>
      </c>
      <c r="AN21" s="68"/>
      <c r="AO21" s="69">
        <v>1</v>
      </c>
      <c r="AP21" s="70"/>
      <c r="AQ21" s="67"/>
      <c r="AR21" s="71"/>
      <c r="AS21" s="68"/>
      <c r="AT21" s="72"/>
      <c r="AU21" s="73"/>
      <c r="AV21" s="65"/>
      <c r="AW21" s="66">
        <v>1</v>
      </c>
      <c r="AX21" s="67">
        <v>1</v>
      </c>
      <c r="AY21" s="68"/>
      <c r="AZ21" s="69">
        <v>1</v>
      </c>
      <c r="BA21" s="70"/>
      <c r="BB21" s="67"/>
      <c r="BC21" s="71"/>
      <c r="BD21" s="68"/>
      <c r="BE21" s="72"/>
      <c r="BF21" s="73"/>
      <c r="BG21" s="65"/>
      <c r="BH21" s="66">
        <v>1</v>
      </c>
      <c r="BI21" s="67">
        <v>1</v>
      </c>
      <c r="BJ21" s="68">
        <v>1</v>
      </c>
      <c r="BK21" s="69">
        <v>1</v>
      </c>
      <c r="BL21" s="70"/>
      <c r="BM21" s="67"/>
      <c r="BN21" s="71"/>
      <c r="BO21" s="68"/>
      <c r="BP21" s="72"/>
      <c r="BQ21" s="73"/>
      <c r="BR21" s="65">
        <v>1</v>
      </c>
      <c r="BS21" s="66">
        <v>1</v>
      </c>
      <c r="BT21" s="67">
        <v>1</v>
      </c>
      <c r="BU21" s="68"/>
      <c r="BV21" s="69">
        <v>1</v>
      </c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>
        <v>1</v>
      </c>
      <c r="E22" s="66">
        <v>1</v>
      </c>
      <c r="F22" s="67"/>
      <c r="G22" s="68"/>
      <c r="H22" s="69">
        <v>1</v>
      </c>
      <c r="I22" s="70"/>
      <c r="J22" s="67"/>
      <c r="K22" s="71"/>
      <c r="L22" s="68"/>
      <c r="M22" s="72"/>
      <c r="N22" s="73"/>
      <c r="O22" s="65"/>
      <c r="P22" s="66">
        <v>1</v>
      </c>
      <c r="Q22" s="67">
        <v>1</v>
      </c>
      <c r="R22" s="68">
        <v>1</v>
      </c>
      <c r="S22" s="69"/>
      <c r="T22" s="70"/>
      <c r="U22" s="67"/>
      <c r="V22" s="71"/>
      <c r="W22" s="68"/>
      <c r="X22" s="72"/>
      <c r="Y22" s="73"/>
      <c r="Z22" s="65">
        <v>1</v>
      </c>
      <c r="AA22" s="66"/>
      <c r="AB22" s="67">
        <v>1</v>
      </c>
      <c r="AC22" s="68"/>
      <c r="AD22" s="69">
        <v>1</v>
      </c>
      <c r="AE22" s="70"/>
      <c r="AF22" s="67"/>
      <c r="AG22" s="71"/>
      <c r="AH22" s="68"/>
      <c r="AI22" s="72"/>
      <c r="AJ22" s="73"/>
      <c r="AK22" s="65">
        <v>1</v>
      </c>
      <c r="AL22" s="66">
        <v>1</v>
      </c>
      <c r="AM22" s="67">
        <v>1</v>
      </c>
      <c r="AN22" s="68">
        <v>1</v>
      </c>
      <c r="AO22" s="69">
        <v>1</v>
      </c>
      <c r="AP22" s="70"/>
      <c r="AQ22" s="67"/>
      <c r="AR22" s="71"/>
      <c r="AS22" s="68"/>
      <c r="AT22" s="72"/>
      <c r="AU22" s="73"/>
      <c r="AV22" s="65">
        <v>1</v>
      </c>
      <c r="AW22" s="66">
        <v>1</v>
      </c>
      <c r="AX22" s="67"/>
      <c r="AY22" s="68">
        <v>1</v>
      </c>
      <c r="AZ22" s="69"/>
      <c r="BA22" s="70"/>
      <c r="BB22" s="67"/>
      <c r="BC22" s="71"/>
      <c r="BD22" s="68"/>
      <c r="BE22" s="72"/>
      <c r="BF22" s="73"/>
      <c r="BG22" s="65">
        <v>1</v>
      </c>
      <c r="BH22" s="66">
        <v>1</v>
      </c>
      <c r="BI22" s="67">
        <v>1</v>
      </c>
      <c r="BJ22" s="68"/>
      <c r="BK22" s="69">
        <v>1</v>
      </c>
      <c r="BL22" s="70"/>
      <c r="BM22" s="67"/>
      <c r="BN22" s="71"/>
      <c r="BO22" s="68"/>
      <c r="BP22" s="72"/>
      <c r="BQ22" s="73"/>
      <c r="BR22" s="65">
        <v>1</v>
      </c>
      <c r="BS22" s="66"/>
      <c r="BT22" s="67">
        <v>1</v>
      </c>
      <c r="BU22" s="68">
        <v>1</v>
      </c>
      <c r="BV22" s="69"/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/>
      <c r="E23" s="66">
        <v>1</v>
      </c>
      <c r="F23" s="67"/>
      <c r="G23" s="68"/>
      <c r="H23" s="69">
        <v>1</v>
      </c>
      <c r="I23" s="70"/>
      <c r="J23" s="67"/>
      <c r="K23" s="71"/>
      <c r="L23" s="68"/>
      <c r="M23" s="72"/>
      <c r="N23" s="73"/>
      <c r="O23" s="65"/>
      <c r="P23" s="66">
        <v>1</v>
      </c>
      <c r="Q23" s="67"/>
      <c r="R23" s="68">
        <v>1</v>
      </c>
      <c r="S23" s="69"/>
      <c r="T23" s="70"/>
      <c r="U23" s="67"/>
      <c r="V23" s="71"/>
      <c r="W23" s="68"/>
      <c r="X23" s="72"/>
      <c r="Y23" s="73"/>
      <c r="Z23" s="65"/>
      <c r="AA23" s="66"/>
      <c r="AB23" s="67"/>
      <c r="AC23" s="68">
        <v>1</v>
      </c>
      <c r="AD23" s="69">
        <v>1</v>
      </c>
      <c r="AE23" s="70"/>
      <c r="AF23" s="67"/>
      <c r="AG23" s="71"/>
      <c r="AH23" s="68"/>
      <c r="AI23" s="72"/>
      <c r="AJ23" s="73"/>
      <c r="AK23" s="65"/>
      <c r="AL23" s="66">
        <v>1</v>
      </c>
      <c r="AM23" s="67">
        <v>1</v>
      </c>
      <c r="AN23" s="68">
        <v>1</v>
      </c>
      <c r="AO23" s="69">
        <v>1</v>
      </c>
      <c r="AP23" s="70"/>
      <c r="AQ23" s="67"/>
      <c r="AR23" s="71"/>
      <c r="AS23" s="68"/>
      <c r="AT23" s="72"/>
      <c r="AU23" s="73"/>
      <c r="AV23" s="65"/>
      <c r="AW23" s="66">
        <v>1</v>
      </c>
      <c r="AX23" s="67">
        <v>1</v>
      </c>
      <c r="AY23" s="68">
        <v>1</v>
      </c>
      <c r="AZ23" s="69">
        <v>1</v>
      </c>
      <c r="BA23" s="70"/>
      <c r="BB23" s="67"/>
      <c r="BC23" s="71"/>
      <c r="BD23" s="68"/>
      <c r="BE23" s="72"/>
      <c r="BF23" s="73"/>
      <c r="BG23" s="65">
        <v>1</v>
      </c>
      <c r="BH23" s="66">
        <v>1</v>
      </c>
      <c r="BI23" s="67"/>
      <c r="BJ23" s="68">
        <v>1</v>
      </c>
      <c r="BK23" s="69">
        <v>1</v>
      </c>
      <c r="BL23" s="70"/>
      <c r="BM23" s="67"/>
      <c r="BN23" s="71"/>
      <c r="BO23" s="68"/>
      <c r="BP23" s="72"/>
      <c r="BQ23" s="73"/>
      <c r="BR23" s="65">
        <v>1</v>
      </c>
      <c r="BS23" s="66">
        <v>1</v>
      </c>
      <c r="BT23" s="67">
        <v>1</v>
      </c>
      <c r="BU23" s="68">
        <v>1</v>
      </c>
      <c r="BV23" s="69">
        <v>1</v>
      </c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>
        <v>1</v>
      </c>
      <c r="E24" s="66">
        <v>1</v>
      </c>
      <c r="F24" s="67"/>
      <c r="G24" s="68"/>
      <c r="H24" s="69">
        <v>1</v>
      </c>
      <c r="I24" s="70"/>
      <c r="J24" s="67"/>
      <c r="K24" s="71"/>
      <c r="L24" s="68"/>
      <c r="M24" s="72"/>
      <c r="N24" s="73"/>
      <c r="O24" s="65"/>
      <c r="P24" s="66">
        <v>1</v>
      </c>
      <c r="Q24" s="67">
        <v>1</v>
      </c>
      <c r="R24" s="68">
        <v>1</v>
      </c>
      <c r="S24" s="69"/>
      <c r="T24" s="70"/>
      <c r="U24" s="67"/>
      <c r="V24" s="71"/>
      <c r="W24" s="68"/>
      <c r="X24" s="72"/>
      <c r="Y24" s="73"/>
      <c r="Z24" s="65">
        <v>1</v>
      </c>
      <c r="AA24" s="66"/>
      <c r="AB24" s="67">
        <v>1</v>
      </c>
      <c r="AC24" s="68">
        <v>1</v>
      </c>
      <c r="AD24" s="69">
        <v>1</v>
      </c>
      <c r="AE24" s="70"/>
      <c r="AF24" s="67"/>
      <c r="AG24" s="71"/>
      <c r="AH24" s="68"/>
      <c r="AI24" s="72"/>
      <c r="AJ24" s="73"/>
      <c r="AK24" s="65">
        <v>1</v>
      </c>
      <c r="AL24" s="66">
        <v>1</v>
      </c>
      <c r="AM24" s="67">
        <v>1</v>
      </c>
      <c r="AN24" s="68">
        <v>1</v>
      </c>
      <c r="AO24" s="69">
        <v>1</v>
      </c>
      <c r="AP24" s="70"/>
      <c r="AQ24" s="67"/>
      <c r="AR24" s="71"/>
      <c r="AS24" s="68"/>
      <c r="AT24" s="72"/>
      <c r="AU24" s="73"/>
      <c r="AV24" s="65">
        <v>1</v>
      </c>
      <c r="AW24" s="66">
        <v>1</v>
      </c>
      <c r="AX24" s="67">
        <v>1</v>
      </c>
      <c r="AY24" s="68">
        <v>1</v>
      </c>
      <c r="AZ24" s="69">
        <v>1</v>
      </c>
      <c r="BA24" s="70"/>
      <c r="BB24" s="67"/>
      <c r="BC24" s="71"/>
      <c r="BD24" s="68"/>
      <c r="BE24" s="72"/>
      <c r="BF24" s="73"/>
      <c r="BG24" s="65">
        <v>1</v>
      </c>
      <c r="BH24" s="66">
        <v>1</v>
      </c>
      <c r="BI24" s="67"/>
      <c r="BJ24" s="68">
        <v>1</v>
      </c>
      <c r="BK24" s="69">
        <v>1</v>
      </c>
      <c r="BL24" s="70"/>
      <c r="BM24" s="67"/>
      <c r="BN24" s="71"/>
      <c r="BO24" s="68"/>
      <c r="BP24" s="72"/>
      <c r="BQ24" s="73"/>
      <c r="BR24" s="65">
        <v>1</v>
      </c>
      <c r="BS24" s="66">
        <v>1</v>
      </c>
      <c r="BT24" s="67">
        <v>1</v>
      </c>
      <c r="BU24" s="68">
        <v>1</v>
      </c>
      <c r="BV24" s="69">
        <v>1</v>
      </c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>
        <v>1</v>
      </c>
      <c r="E25" s="66">
        <v>0.5</v>
      </c>
      <c r="F25" s="67"/>
      <c r="G25" s="68"/>
      <c r="H25" s="69">
        <v>1</v>
      </c>
      <c r="I25" s="70"/>
      <c r="J25" s="67"/>
      <c r="K25" s="71"/>
      <c r="L25" s="68"/>
      <c r="M25" s="72"/>
      <c r="N25" s="73"/>
      <c r="O25" s="65"/>
      <c r="P25" s="66">
        <v>0.5</v>
      </c>
      <c r="Q25" s="67">
        <v>1</v>
      </c>
      <c r="R25" s="68">
        <v>1</v>
      </c>
      <c r="S25" s="69"/>
      <c r="T25" s="70"/>
      <c r="U25" s="67"/>
      <c r="V25" s="71"/>
      <c r="W25" s="68"/>
      <c r="X25" s="72"/>
      <c r="Y25" s="73"/>
      <c r="Z25" s="65">
        <v>1</v>
      </c>
      <c r="AA25" s="66"/>
      <c r="AB25" s="67">
        <v>1</v>
      </c>
      <c r="AC25" s="68">
        <v>1</v>
      </c>
      <c r="AD25" s="69">
        <v>1</v>
      </c>
      <c r="AE25" s="70"/>
      <c r="AF25" s="67"/>
      <c r="AG25" s="71"/>
      <c r="AH25" s="68"/>
      <c r="AI25" s="72"/>
      <c r="AJ25" s="73"/>
      <c r="AK25" s="65">
        <v>1</v>
      </c>
      <c r="AL25" s="66">
        <v>0.5</v>
      </c>
      <c r="AM25" s="67"/>
      <c r="AN25" s="68">
        <v>1</v>
      </c>
      <c r="AO25" s="69">
        <v>1</v>
      </c>
      <c r="AP25" s="70"/>
      <c r="AQ25" s="67"/>
      <c r="AR25" s="71"/>
      <c r="AS25" s="68"/>
      <c r="AT25" s="72"/>
      <c r="AU25" s="73"/>
      <c r="AV25" s="65">
        <v>1</v>
      </c>
      <c r="AW25" s="66">
        <v>0.5</v>
      </c>
      <c r="AX25" s="67">
        <v>1</v>
      </c>
      <c r="AY25" s="68">
        <v>1</v>
      </c>
      <c r="AZ25" s="69">
        <v>1</v>
      </c>
      <c r="BA25" s="70"/>
      <c r="BB25" s="67"/>
      <c r="BC25" s="71"/>
      <c r="BD25" s="68"/>
      <c r="BE25" s="72"/>
      <c r="BF25" s="73"/>
      <c r="BG25" s="65">
        <v>1</v>
      </c>
      <c r="BH25" s="66">
        <v>0.5</v>
      </c>
      <c r="BI25" s="67"/>
      <c r="BJ25" s="68">
        <v>1</v>
      </c>
      <c r="BK25" s="69">
        <v>1</v>
      </c>
      <c r="BL25" s="70"/>
      <c r="BM25" s="67"/>
      <c r="BN25" s="71"/>
      <c r="BO25" s="68"/>
      <c r="BP25" s="72"/>
      <c r="BQ25" s="73"/>
      <c r="BR25" s="65"/>
      <c r="BS25" s="66">
        <v>1</v>
      </c>
      <c r="BT25" s="67">
        <v>1</v>
      </c>
      <c r="BU25" s="68">
        <v>1</v>
      </c>
      <c r="BV25" s="69">
        <v>1</v>
      </c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>
        <v>1</v>
      </c>
      <c r="E26" s="66"/>
      <c r="F26" s="67"/>
      <c r="G26" s="68"/>
      <c r="H26" s="69">
        <v>1</v>
      </c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>
        <v>1</v>
      </c>
      <c r="S26" s="69"/>
      <c r="T26" s="70"/>
      <c r="U26" s="67"/>
      <c r="V26" s="71"/>
      <c r="W26" s="68"/>
      <c r="X26" s="72"/>
      <c r="Y26" s="73"/>
      <c r="Z26" s="65">
        <v>1</v>
      </c>
      <c r="AA26" s="66"/>
      <c r="AB26" s="67">
        <v>1</v>
      </c>
      <c r="AC26" s="68">
        <v>1</v>
      </c>
      <c r="AD26" s="69">
        <v>1</v>
      </c>
      <c r="AE26" s="70"/>
      <c r="AF26" s="67"/>
      <c r="AG26" s="71"/>
      <c r="AH26" s="68"/>
      <c r="AI26" s="72"/>
      <c r="AJ26" s="73"/>
      <c r="AK26" s="65">
        <v>1</v>
      </c>
      <c r="AL26" s="66"/>
      <c r="AM26" s="67"/>
      <c r="AN26" s="68">
        <v>1</v>
      </c>
      <c r="AO26" s="69">
        <v>1</v>
      </c>
      <c r="AP26" s="70"/>
      <c r="AQ26" s="67"/>
      <c r="AR26" s="71"/>
      <c r="AS26" s="68"/>
      <c r="AT26" s="72"/>
      <c r="AU26" s="73"/>
      <c r="AV26" s="65">
        <v>1</v>
      </c>
      <c r="AW26" s="66"/>
      <c r="AX26" s="67">
        <v>1</v>
      </c>
      <c r="AY26" s="68">
        <v>1</v>
      </c>
      <c r="AZ26" s="69">
        <v>1</v>
      </c>
      <c r="BA26" s="70"/>
      <c r="BB26" s="67"/>
      <c r="BC26" s="71"/>
      <c r="BD26" s="68"/>
      <c r="BE26" s="72"/>
      <c r="BF26" s="73"/>
      <c r="BG26" s="65">
        <v>1</v>
      </c>
      <c r="BH26" s="66"/>
      <c r="BI26" s="67"/>
      <c r="BJ26" s="68">
        <v>1</v>
      </c>
      <c r="BK26" s="69">
        <v>1</v>
      </c>
      <c r="BL26" s="70"/>
      <c r="BM26" s="67"/>
      <c r="BN26" s="71"/>
      <c r="BO26" s="68"/>
      <c r="BP26" s="72"/>
      <c r="BQ26" s="73"/>
      <c r="BR26" s="65"/>
      <c r="BS26" s="66">
        <v>1</v>
      </c>
      <c r="BT26" s="67">
        <v>1</v>
      </c>
      <c r="BU26" s="68">
        <v>1</v>
      </c>
      <c r="BV26" s="69">
        <v>1</v>
      </c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>
        <v>1</v>
      </c>
      <c r="E27" s="66"/>
      <c r="F27" s="67"/>
      <c r="G27" s="68"/>
      <c r="H27" s="69">
        <v>1</v>
      </c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>
        <v>1</v>
      </c>
      <c r="S27" s="69"/>
      <c r="T27" s="70"/>
      <c r="U27" s="67"/>
      <c r="V27" s="71"/>
      <c r="W27" s="68"/>
      <c r="X27" s="72"/>
      <c r="Y27" s="73"/>
      <c r="Z27" s="65">
        <v>1</v>
      </c>
      <c r="AA27" s="66"/>
      <c r="AB27" s="67">
        <v>1</v>
      </c>
      <c r="AC27" s="68">
        <v>1</v>
      </c>
      <c r="AD27" s="69">
        <v>1</v>
      </c>
      <c r="AE27" s="70"/>
      <c r="AF27" s="67"/>
      <c r="AG27" s="71"/>
      <c r="AH27" s="68"/>
      <c r="AI27" s="72"/>
      <c r="AJ27" s="73"/>
      <c r="AK27" s="65">
        <v>1</v>
      </c>
      <c r="AL27" s="66"/>
      <c r="AM27" s="67"/>
      <c r="AN27" s="68">
        <v>1</v>
      </c>
      <c r="AO27" s="69">
        <v>1</v>
      </c>
      <c r="AP27" s="70"/>
      <c r="AQ27" s="67"/>
      <c r="AR27" s="71"/>
      <c r="AS27" s="68"/>
      <c r="AT27" s="72"/>
      <c r="AU27" s="73"/>
      <c r="AV27" s="65">
        <v>1</v>
      </c>
      <c r="AW27" s="66"/>
      <c r="AX27" s="67">
        <v>1</v>
      </c>
      <c r="AY27" s="68">
        <v>1</v>
      </c>
      <c r="AZ27" s="69">
        <v>1</v>
      </c>
      <c r="BA27" s="70"/>
      <c r="BB27" s="67"/>
      <c r="BC27" s="71"/>
      <c r="BD27" s="68"/>
      <c r="BE27" s="72"/>
      <c r="BF27" s="73"/>
      <c r="BG27" s="65">
        <v>1</v>
      </c>
      <c r="BH27" s="66"/>
      <c r="BI27" s="67"/>
      <c r="BJ27" s="68">
        <v>1</v>
      </c>
      <c r="BK27" s="69">
        <v>1</v>
      </c>
      <c r="BL27" s="70"/>
      <c r="BM27" s="67"/>
      <c r="BN27" s="71"/>
      <c r="BO27" s="68"/>
      <c r="BP27" s="72"/>
      <c r="BQ27" s="73"/>
      <c r="BR27" s="65"/>
      <c r="BS27" s="66">
        <v>1</v>
      </c>
      <c r="BT27" s="67">
        <v>1</v>
      </c>
      <c r="BU27" s="68">
        <v>1</v>
      </c>
      <c r="BV27" s="69">
        <v>1</v>
      </c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/>
      <c r="E28" s="66"/>
      <c r="F28" s="67"/>
      <c r="G28" s="68"/>
      <c r="H28" s="69">
        <v>1</v>
      </c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>
        <v>1</v>
      </c>
      <c r="S28" s="69"/>
      <c r="T28" s="70"/>
      <c r="U28" s="67"/>
      <c r="V28" s="71"/>
      <c r="W28" s="68"/>
      <c r="X28" s="72"/>
      <c r="Y28" s="73"/>
      <c r="Z28" s="65">
        <v>1</v>
      </c>
      <c r="AA28" s="66"/>
      <c r="AB28" s="67">
        <v>1</v>
      </c>
      <c r="AC28" s="68">
        <v>1</v>
      </c>
      <c r="AD28" s="69">
        <v>1</v>
      </c>
      <c r="AE28" s="70"/>
      <c r="AF28" s="67"/>
      <c r="AG28" s="71"/>
      <c r="AH28" s="68"/>
      <c r="AI28" s="72"/>
      <c r="AJ28" s="73"/>
      <c r="AK28" s="65">
        <v>1</v>
      </c>
      <c r="AL28" s="66"/>
      <c r="AM28" s="67"/>
      <c r="AN28" s="68">
        <v>1</v>
      </c>
      <c r="AO28" s="71">
        <v>1</v>
      </c>
      <c r="AP28" s="71"/>
      <c r="AQ28" s="71"/>
      <c r="AR28" s="71"/>
      <c r="AS28" s="68"/>
      <c r="AT28" s="72"/>
      <c r="AU28" s="73"/>
      <c r="AV28" s="65">
        <v>1</v>
      </c>
      <c r="AW28" s="66"/>
      <c r="AX28" s="67">
        <v>1</v>
      </c>
      <c r="AY28" s="68">
        <v>1</v>
      </c>
      <c r="AZ28" s="69">
        <v>1</v>
      </c>
      <c r="BA28" s="70"/>
      <c r="BB28" s="67"/>
      <c r="BC28" s="71"/>
      <c r="BD28" s="68"/>
      <c r="BE28" s="72"/>
      <c r="BF28" s="73"/>
      <c r="BG28" s="65">
        <v>1</v>
      </c>
      <c r="BH28" s="66"/>
      <c r="BI28" s="67"/>
      <c r="BJ28" s="68">
        <v>1</v>
      </c>
      <c r="BK28" s="69">
        <v>1</v>
      </c>
      <c r="BL28" s="70"/>
      <c r="BM28" s="67"/>
      <c r="BN28" s="71"/>
      <c r="BO28" s="68"/>
      <c r="BP28" s="72"/>
      <c r="BQ28" s="73"/>
      <c r="BR28" s="65"/>
      <c r="BS28" s="66">
        <v>1</v>
      </c>
      <c r="BT28" s="67"/>
      <c r="BU28" s="68">
        <v>1</v>
      </c>
      <c r="BV28" s="69">
        <v>1</v>
      </c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>
        <v>1</v>
      </c>
      <c r="AZ29" s="20">
        <v>1</v>
      </c>
      <c r="BA29" s="21"/>
      <c r="BB29" s="18"/>
      <c r="BC29" s="22"/>
      <c r="BD29" s="19"/>
      <c r="BE29" s="23"/>
      <c r="BF29" s="24"/>
      <c r="BG29" s="16"/>
      <c r="BH29" s="17"/>
      <c r="BI29" s="18"/>
      <c r="BJ29" s="19">
        <v>1</v>
      </c>
      <c r="BK29" s="20">
        <v>1</v>
      </c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04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05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06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07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08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09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10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ALEXA</v>
      </c>
      <c r="E33" s="31" t="str">
        <f t="shared" si="0"/>
        <v>ANAHY</v>
      </c>
      <c r="F33" s="32" t="str">
        <f t="shared" si="0"/>
        <v>MICHAEL</v>
      </c>
      <c r="G33" s="33" t="str">
        <f t="shared" si="0"/>
        <v>LINDSAY</v>
      </c>
      <c r="H33" s="34" t="str">
        <f t="shared" si="0"/>
        <v>MILA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ALEXA</v>
      </c>
      <c r="P33" s="31" t="str">
        <f t="shared" si="1"/>
        <v>ANAHY</v>
      </c>
      <c r="Q33" s="32" t="str">
        <f t="shared" si="1"/>
        <v>MICHAEL</v>
      </c>
      <c r="R33" s="33" t="str">
        <f t="shared" si="1"/>
        <v>LINDSAY</v>
      </c>
      <c r="S33" s="34" t="str">
        <f t="shared" si="1"/>
        <v>MILA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ALEXA</v>
      </c>
      <c r="AA33" s="31" t="str">
        <f t="shared" si="2"/>
        <v>ANAHY</v>
      </c>
      <c r="AB33" s="32" t="str">
        <f t="shared" si="2"/>
        <v>MICHAEL</v>
      </c>
      <c r="AC33" s="33" t="str">
        <f t="shared" si="2"/>
        <v>LINDSAY</v>
      </c>
      <c r="AD33" s="34" t="str">
        <f t="shared" si="2"/>
        <v>MILA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ALEXA</v>
      </c>
      <c r="AL33" s="31" t="str">
        <f t="shared" si="3"/>
        <v>ANAHY</v>
      </c>
      <c r="AM33" s="32" t="str">
        <f t="shared" si="3"/>
        <v>MICHAEL</v>
      </c>
      <c r="AN33" s="33" t="str">
        <f t="shared" si="3"/>
        <v>LINDSAY</v>
      </c>
      <c r="AO33" s="34" t="str">
        <f t="shared" si="3"/>
        <v>MILA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ALEXA</v>
      </c>
      <c r="AW33" s="31" t="str">
        <f t="shared" si="4"/>
        <v>ANAHY</v>
      </c>
      <c r="AX33" s="32" t="str">
        <f t="shared" si="4"/>
        <v>MICHAEL</v>
      </c>
      <c r="AY33" s="33" t="str">
        <f t="shared" si="4"/>
        <v>LINDSAY</v>
      </c>
      <c r="AZ33" s="34" t="str">
        <f t="shared" si="4"/>
        <v>MILA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ALEXA</v>
      </c>
      <c r="BH33" s="31" t="str">
        <f t="shared" si="5"/>
        <v>ANAHY</v>
      </c>
      <c r="BI33" s="32" t="str">
        <f t="shared" si="5"/>
        <v>MICHAEL</v>
      </c>
      <c r="BJ33" s="33" t="str">
        <f t="shared" si="5"/>
        <v>LINDSAY</v>
      </c>
      <c r="BK33" s="34" t="str">
        <f t="shared" si="5"/>
        <v>MILA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ALEXA</v>
      </c>
      <c r="BS33" s="31" t="str">
        <f t="shared" si="6"/>
        <v>ANAHY</v>
      </c>
      <c r="BT33" s="32" t="str">
        <f t="shared" si="6"/>
        <v>MICHAEL</v>
      </c>
      <c r="BU33" s="33" t="str">
        <f t="shared" si="6"/>
        <v>LINDSAY</v>
      </c>
      <c r="BV33" s="34" t="str">
        <f t="shared" si="6"/>
        <v>MILA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5</v>
      </c>
      <c r="E34" s="48">
        <f t="shared" ref="E34:M34" si="7">SUM(E7:E30)</f>
        <v>7.5</v>
      </c>
      <c r="F34" s="49">
        <f t="shared" si="7"/>
        <v>0</v>
      </c>
      <c r="G34" s="50">
        <f t="shared" si="7"/>
        <v>0</v>
      </c>
      <c r="H34" s="51">
        <f t="shared" si="7"/>
        <v>11</v>
      </c>
      <c r="I34" s="52">
        <f t="shared" si="7"/>
        <v>0.5</v>
      </c>
      <c r="J34" s="49">
        <f t="shared" si="7"/>
        <v>0.5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0</v>
      </c>
      <c r="P34" s="48">
        <f t="shared" si="8"/>
        <v>7.5</v>
      </c>
      <c r="Q34" s="49">
        <f t="shared" si="8"/>
        <v>6</v>
      </c>
      <c r="R34" s="50">
        <f t="shared" si="8"/>
        <v>10.5</v>
      </c>
      <c r="S34" s="51">
        <f t="shared" si="8"/>
        <v>1.5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6</v>
      </c>
      <c r="AA34" s="48">
        <f t="shared" si="9"/>
        <v>0</v>
      </c>
      <c r="AB34" s="49">
        <f t="shared" si="9"/>
        <v>6</v>
      </c>
      <c r="AC34" s="50">
        <f t="shared" si="9"/>
        <v>10</v>
      </c>
      <c r="AD34" s="51">
        <f t="shared" si="9"/>
        <v>11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6</v>
      </c>
      <c r="AL34" s="48">
        <f t="shared" si="10"/>
        <v>7.5</v>
      </c>
      <c r="AM34" s="49">
        <f t="shared" si="10"/>
        <v>7</v>
      </c>
      <c r="AN34" s="50">
        <f t="shared" si="10"/>
        <v>10</v>
      </c>
      <c r="AO34" s="51">
        <f t="shared" si="10"/>
        <v>11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6</v>
      </c>
      <c r="AW34" s="48">
        <f t="shared" si="11"/>
        <v>7.5</v>
      </c>
      <c r="AX34" s="49">
        <f t="shared" si="11"/>
        <v>8</v>
      </c>
      <c r="AY34" s="50">
        <f t="shared" si="11"/>
        <v>11</v>
      </c>
      <c r="AZ34" s="51">
        <f t="shared" si="11"/>
        <v>8</v>
      </c>
      <c r="BA34" s="52">
        <f t="shared" si="11"/>
        <v>0</v>
      </c>
      <c r="BB34" s="49">
        <f t="shared" si="11"/>
        <v>0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8</v>
      </c>
      <c r="BH34" s="48">
        <f t="shared" si="12"/>
        <v>7.5</v>
      </c>
      <c r="BI34" s="49">
        <f t="shared" si="12"/>
        <v>5</v>
      </c>
      <c r="BJ34" s="50">
        <f t="shared" si="12"/>
        <v>10</v>
      </c>
      <c r="BK34" s="51">
        <f t="shared" si="12"/>
        <v>12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7</v>
      </c>
      <c r="BS34" s="48">
        <f t="shared" si="13"/>
        <v>7</v>
      </c>
      <c r="BT34" s="49">
        <f t="shared" si="13"/>
        <v>9</v>
      </c>
      <c r="BU34" s="50">
        <f t="shared" si="13"/>
        <v>9</v>
      </c>
      <c r="BV34" s="51">
        <f t="shared" si="13"/>
        <v>7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40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38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36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44.5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37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41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60.5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39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61.5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0.5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0.5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  <mergeCell ref="B41:J41"/>
    <mergeCell ref="L41:N41"/>
    <mergeCell ref="B42:J42"/>
    <mergeCell ref="L42:N42"/>
    <mergeCell ref="B43:J43"/>
    <mergeCell ref="L43:N43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</mergeCells>
  <conditionalFormatting sqref="D7:M14 D29:M30">
    <cfRule type="expression" dxfId="244" priority="14">
      <formula>IF(OR(D7=0,D7=""),TRUE(),FALSE())</formula>
    </cfRule>
  </conditionalFormatting>
  <conditionalFormatting sqref="D15:M28">
    <cfRule type="expression" dxfId="243" priority="13">
      <formula>IF(OR(D15=0,D15=""),TRUE(),FALSE())</formula>
    </cfRule>
  </conditionalFormatting>
  <conditionalFormatting sqref="O7:X14 O29:X30">
    <cfRule type="expression" dxfId="242" priority="12">
      <formula>IF(OR(O7=0,O7=""),TRUE(),FALSE())</formula>
    </cfRule>
  </conditionalFormatting>
  <conditionalFormatting sqref="O15:X28">
    <cfRule type="expression" dxfId="241" priority="11">
      <formula>IF(OR(O15=0,O15=""),TRUE(),FALSE())</formula>
    </cfRule>
  </conditionalFormatting>
  <conditionalFormatting sqref="Z7:AI14 Z29:AI30">
    <cfRule type="expression" dxfId="240" priority="10">
      <formula>IF(OR(Z7=0,Z7=""),TRUE(),FALSE())</formula>
    </cfRule>
  </conditionalFormatting>
  <conditionalFormatting sqref="Z15:AI28">
    <cfRule type="expression" dxfId="239" priority="9">
      <formula>IF(OR(Z15=0,Z15=""),TRUE(),FALSE())</formula>
    </cfRule>
  </conditionalFormatting>
  <conditionalFormatting sqref="AK7:AT14 AK29:AT30">
    <cfRule type="expression" dxfId="238" priority="8">
      <formula>IF(OR(AK7=0,AK7=""),TRUE(),FALSE())</formula>
    </cfRule>
  </conditionalFormatting>
  <conditionalFormatting sqref="AK15:AT28">
    <cfRule type="expression" dxfId="237" priority="7">
      <formula>IF(OR(AK15=0,AK15=""),TRUE(),FALSE())</formula>
    </cfRule>
  </conditionalFormatting>
  <conditionalFormatting sqref="AV7:BE14 AV29:BE30">
    <cfRule type="expression" dxfId="236" priority="6">
      <formula>IF(OR(AV7=0,AV7=""),TRUE(),FALSE())</formula>
    </cfRule>
  </conditionalFormatting>
  <conditionalFormatting sqref="AV15:BE28">
    <cfRule type="expression" dxfId="235" priority="5">
      <formula>IF(OR(AV15=0,AV15=""),TRUE(),FALSE())</formula>
    </cfRule>
  </conditionalFormatting>
  <conditionalFormatting sqref="BG7:BP14 BG29:BP30">
    <cfRule type="expression" dxfId="234" priority="4">
      <formula>IF(OR(BG7=0,BG7=""),TRUE(),FALSE())</formula>
    </cfRule>
  </conditionalFormatting>
  <conditionalFormatting sqref="BG15:BP28">
    <cfRule type="expression" dxfId="233" priority="3">
      <formula>IF(OR(BG15=0,BG15=""),TRUE(),FALSE())</formula>
    </cfRule>
  </conditionalFormatting>
  <conditionalFormatting sqref="BR7:CA14 BR29:CA30">
    <cfRule type="expression" dxfId="232" priority="2">
      <formula>IF(OR(BR7=0,BR7=""),TRUE(),FALSE())</formula>
    </cfRule>
  </conditionalFormatting>
  <conditionalFormatting sqref="BR15:CA28">
    <cfRule type="expression" dxfId="231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30256126-6797-4240-981B-7BD0632AE830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66B11-D909-49F4-A1B5-220623E82B80}">
  <sheetPr codeName="Hoja12"/>
  <dimension ref="A1:CA48"/>
  <sheetViews>
    <sheetView showGridLines="0" topLeftCell="A2" zoomScale="70" zoomScaleNormal="70" workbookViewId="0">
      <selection activeCell="Q24" sqref="Q24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11 DE MARZO AL 17 DE MARZO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46092</v>
      </c>
      <c r="D5" s="63" t="str">
        <f>CONCATENATE("Lunes ",TEXT(DAY(C5),"00"))</f>
        <v>Lunes 11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12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13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14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15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16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17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/>
      <c r="E6" s="9" t="s">
        <v>33</v>
      </c>
      <c r="F6" s="10" t="s">
        <v>31</v>
      </c>
      <c r="G6" s="11" t="s">
        <v>21</v>
      </c>
      <c r="H6" s="12" t="s">
        <v>13</v>
      </c>
      <c r="I6" s="13"/>
      <c r="J6" s="10"/>
      <c r="K6" s="14"/>
      <c r="L6" s="11"/>
      <c r="M6" s="15"/>
      <c r="O6" s="8">
        <f>D6</f>
        <v>0</v>
      </c>
      <c r="P6" s="9" t="str">
        <f>E6</f>
        <v>ANAHY</v>
      </c>
      <c r="Q6" s="10" t="str">
        <f>F6</f>
        <v>MICHAEL</v>
      </c>
      <c r="R6" s="11" t="str">
        <f>G6</f>
        <v>LINDSAY</v>
      </c>
      <c r="S6" s="12" t="str">
        <f>H6</f>
        <v>MILA</v>
      </c>
      <c r="T6" s="13"/>
      <c r="U6" s="10"/>
      <c r="V6" s="14"/>
      <c r="W6" s="11"/>
      <c r="X6" s="15"/>
      <c r="Z6" s="8">
        <f>O6</f>
        <v>0</v>
      </c>
      <c r="AA6" s="9" t="s">
        <v>33</v>
      </c>
      <c r="AB6" s="10" t="str">
        <f>Q6</f>
        <v>MICHAEL</v>
      </c>
      <c r="AC6" s="11" t="str">
        <f>R6</f>
        <v>LINDSAY</v>
      </c>
      <c r="AD6" s="12" t="str">
        <f>H6</f>
        <v>MILA</v>
      </c>
      <c r="AE6" s="13"/>
      <c r="AF6" s="10"/>
      <c r="AG6" s="14"/>
      <c r="AH6" s="11"/>
      <c r="AI6" s="15"/>
      <c r="AK6" s="8">
        <f>Z6</f>
        <v>0</v>
      </c>
      <c r="AL6" s="9" t="str">
        <f>AA6</f>
        <v>ANAHY</v>
      </c>
      <c r="AM6" s="10" t="str">
        <f>Q6</f>
        <v>MICHAEL</v>
      </c>
      <c r="AN6" s="11" t="str">
        <f>AC6</f>
        <v>LINDSAY</v>
      </c>
      <c r="AO6" s="12" t="str">
        <f>H6</f>
        <v>MILA</v>
      </c>
      <c r="AP6" s="13"/>
      <c r="AQ6" s="10"/>
      <c r="AR6" s="14"/>
      <c r="AS6" s="11"/>
      <c r="AT6" s="15"/>
      <c r="AV6" s="8">
        <f>AK6</f>
        <v>0</v>
      </c>
      <c r="AW6" s="9" t="s">
        <v>33</v>
      </c>
      <c r="AX6" s="10" t="str">
        <f>AB6</f>
        <v>MICHAEL</v>
      </c>
      <c r="AY6" s="11" t="str">
        <f>AN6</f>
        <v>LINDSAY</v>
      </c>
      <c r="AZ6" s="12" t="str">
        <f>H6</f>
        <v>MILA</v>
      </c>
      <c r="BA6" s="13"/>
      <c r="BB6" s="10"/>
      <c r="BC6" s="14"/>
      <c r="BD6" s="11"/>
      <c r="BE6" s="15"/>
      <c r="BG6" s="8">
        <f>AV6</f>
        <v>0</v>
      </c>
      <c r="BH6" s="9" t="s">
        <v>33</v>
      </c>
      <c r="BI6" s="10" t="str">
        <f>AX6</f>
        <v>MICHAEL</v>
      </c>
      <c r="BJ6" s="11" t="str">
        <f>AC6</f>
        <v>LINDSAY</v>
      </c>
      <c r="BK6" s="12" t="str">
        <f>S6</f>
        <v>MILA</v>
      </c>
      <c r="BL6" s="13"/>
      <c r="BM6" s="10"/>
      <c r="BN6" s="14"/>
      <c r="BO6" s="11"/>
      <c r="BP6" s="15"/>
      <c r="BR6" s="8">
        <f>AV6</f>
        <v>0</v>
      </c>
      <c r="BS6" s="9" t="str">
        <f>BH6</f>
        <v>ANAHY</v>
      </c>
      <c r="BT6" s="10" t="str">
        <f>AX6</f>
        <v>MICHAEL</v>
      </c>
      <c r="BU6" s="11" t="str">
        <f>BJ6</f>
        <v>LINDSAY</v>
      </c>
      <c r="BV6" s="12" t="s">
        <v>13</v>
      </c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/>
      <c r="BB14" s="18"/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/>
      <c r="H15" s="69"/>
      <c r="I15" s="70"/>
      <c r="J15" s="67"/>
      <c r="K15" s="71"/>
      <c r="L15" s="68"/>
      <c r="M15" s="72"/>
      <c r="N15" s="73"/>
      <c r="O15" s="65"/>
      <c r="P15" s="66"/>
      <c r="Q15" s="67"/>
      <c r="R15" s="68"/>
      <c r="S15" s="69"/>
      <c r="T15" s="70"/>
      <c r="U15" s="67"/>
      <c r="V15" s="71"/>
      <c r="W15" s="68"/>
      <c r="X15" s="72"/>
      <c r="Y15" s="73"/>
      <c r="Z15" s="65"/>
      <c r="AA15" s="66"/>
      <c r="AB15" s="67"/>
      <c r="AC15" s="68"/>
      <c r="AD15" s="69"/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/>
      <c r="BI15" s="67"/>
      <c r="BJ15" s="68"/>
      <c r="BK15" s="69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>
        <v>1</v>
      </c>
      <c r="F16" s="67">
        <v>1</v>
      </c>
      <c r="G16" s="68">
        <v>1</v>
      </c>
      <c r="H16" s="69">
        <v>1</v>
      </c>
      <c r="I16" s="70">
        <v>0.5</v>
      </c>
      <c r="J16" s="67">
        <v>0.5</v>
      </c>
      <c r="K16" s="71"/>
      <c r="L16" s="68"/>
      <c r="M16" s="72"/>
      <c r="N16" s="73"/>
      <c r="O16" s="65"/>
      <c r="P16" s="66"/>
      <c r="Q16" s="67"/>
      <c r="R16" s="68">
        <v>1</v>
      </c>
      <c r="S16" s="69">
        <v>1</v>
      </c>
      <c r="T16" s="70"/>
      <c r="U16" s="67"/>
      <c r="V16" s="71"/>
      <c r="W16" s="68"/>
      <c r="X16" s="72"/>
      <c r="Y16" s="73"/>
      <c r="Z16" s="65"/>
      <c r="AA16" s="66"/>
      <c r="AB16" s="67"/>
      <c r="AC16" s="68">
        <v>1</v>
      </c>
      <c r="AD16" s="69">
        <v>1</v>
      </c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6"/>
      <c r="BI16" s="67"/>
      <c r="BJ16" s="68"/>
      <c r="BK16" s="69"/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>
        <v>1</v>
      </c>
      <c r="F17" s="67">
        <v>0.5</v>
      </c>
      <c r="G17" s="68">
        <v>0.5</v>
      </c>
      <c r="H17" s="69">
        <v>0.5</v>
      </c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>
        <v>1</v>
      </c>
      <c r="S17" s="69">
        <v>0.5</v>
      </c>
      <c r="T17" s="70"/>
      <c r="U17" s="67"/>
      <c r="V17" s="71"/>
      <c r="W17" s="68"/>
      <c r="X17" s="72"/>
      <c r="Y17" s="73"/>
      <c r="Z17" s="65"/>
      <c r="AA17" s="66"/>
      <c r="AB17" s="67"/>
      <c r="AC17" s="68">
        <v>1</v>
      </c>
      <c r="AD17" s="69">
        <v>0.5</v>
      </c>
      <c r="AE17" s="70"/>
      <c r="AF17" s="67"/>
      <c r="AG17" s="71"/>
      <c r="AH17" s="68"/>
      <c r="AI17" s="72"/>
      <c r="AJ17" s="73"/>
      <c r="AK17" s="65"/>
      <c r="AL17" s="66"/>
      <c r="AM17" s="67">
        <v>1</v>
      </c>
      <c r="AN17" s="68"/>
      <c r="AO17" s="69">
        <v>1</v>
      </c>
      <c r="AP17" s="70"/>
      <c r="AQ17" s="67"/>
      <c r="AR17" s="71"/>
      <c r="AS17" s="68"/>
      <c r="AT17" s="72"/>
      <c r="AU17" s="73"/>
      <c r="AV17" s="65"/>
      <c r="AW17" s="66">
        <v>1</v>
      </c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>
        <v>1</v>
      </c>
      <c r="BI17" s="67"/>
      <c r="BJ17" s="68"/>
      <c r="BK17" s="69">
        <v>1</v>
      </c>
      <c r="BL17" s="70"/>
      <c r="BM17" s="67"/>
      <c r="BN17" s="71"/>
      <c r="BO17" s="68"/>
      <c r="BP17" s="72"/>
      <c r="BQ17" s="73"/>
      <c r="BR17" s="65"/>
      <c r="BS17" s="66">
        <v>1</v>
      </c>
      <c r="BT17" s="67"/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>
        <v>1</v>
      </c>
      <c r="F18" s="67"/>
      <c r="G18" s="68"/>
      <c r="H18" s="69"/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>
        <v>1</v>
      </c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>
        <v>1</v>
      </c>
      <c r="AD18" s="69"/>
      <c r="AE18" s="70"/>
      <c r="AF18" s="67"/>
      <c r="AG18" s="71"/>
      <c r="AH18" s="68"/>
      <c r="AI18" s="72"/>
      <c r="AJ18" s="73"/>
      <c r="AK18" s="65"/>
      <c r="AL18" s="66"/>
      <c r="AM18" s="67">
        <v>1</v>
      </c>
      <c r="AN18" s="68"/>
      <c r="AO18" s="69">
        <v>1</v>
      </c>
      <c r="AP18" s="70"/>
      <c r="AQ18" s="67"/>
      <c r="AR18" s="71"/>
      <c r="AS18" s="68"/>
      <c r="AT18" s="72"/>
      <c r="AU18" s="73"/>
      <c r="AV18" s="65"/>
      <c r="AW18" s="66">
        <v>1</v>
      </c>
      <c r="AX18" s="67"/>
      <c r="AY18" s="68"/>
      <c r="AZ18" s="69"/>
      <c r="BA18" s="70"/>
      <c r="BB18" s="67"/>
      <c r="BC18" s="71"/>
      <c r="BD18" s="68"/>
      <c r="BE18" s="72"/>
      <c r="BF18" s="73"/>
      <c r="BG18" s="65"/>
      <c r="BH18" s="66">
        <v>1</v>
      </c>
      <c r="BI18" s="67"/>
      <c r="BJ18" s="68"/>
      <c r="BK18" s="69">
        <v>1</v>
      </c>
      <c r="BL18" s="70"/>
      <c r="BM18" s="67"/>
      <c r="BN18" s="71"/>
      <c r="BO18" s="68"/>
      <c r="BP18" s="72"/>
      <c r="BQ18" s="73"/>
      <c r="BR18" s="65"/>
      <c r="BS18" s="66">
        <v>1</v>
      </c>
      <c r="BT18" s="67"/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>
        <v>1</v>
      </c>
      <c r="F19" s="67"/>
      <c r="G19" s="68"/>
      <c r="H19" s="69"/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>
        <v>1</v>
      </c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>
        <v>1</v>
      </c>
      <c r="AD19" s="69">
        <v>1</v>
      </c>
      <c r="AE19" s="70"/>
      <c r="AF19" s="67"/>
      <c r="AG19" s="71"/>
      <c r="AH19" s="68"/>
      <c r="AI19" s="72"/>
      <c r="AJ19" s="73"/>
      <c r="AK19" s="65"/>
      <c r="AL19" s="66"/>
      <c r="AM19" s="67">
        <v>1</v>
      </c>
      <c r="AN19" s="68"/>
      <c r="AO19" s="69">
        <v>1</v>
      </c>
      <c r="AP19" s="70"/>
      <c r="AQ19" s="67"/>
      <c r="AR19" s="71"/>
      <c r="AS19" s="68"/>
      <c r="AT19" s="72"/>
      <c r="AU19" s="73"/>
      <c r="AV19" s="65"/>
      <c r="AW19" s="66">
        <v>1</v>
      </c>
      <c r="AX19" s="67"/>
      <c r="AY19" s="68">
        <v>1</v>
      </c>
      <c r="AZ19" s="69"/>
      <c r="BA19" s="70"/>
      <c r="BB19" s="67"/>
      <c r="BC19" s="71"/>
      <c r="BD19" s="68"/>
      <c r="BE19" s="72"/>
      <c r="BF19" s="73"/>
      <c r="BG19" s="65"/>
      <c r="BH19" s="66">
        <v>1</v>
      </c>
      <c r="BI19" s="67"/>
      <c r="BJ19" s="68"/>
      <c r="BK19" s="69">
        <v>1</v>
      </c>
      <c r="BL19" s="70"/>
      <c r="BM19" s="67"/>
      <c r="BN19" s="71"/>
      <c r="BO19" s="68"/>
      <c r="BP19" s="72"/>
      <c r="BQ19" s="73"/>
      <c r="BR19" s="65"/>
      <c r="BS19" s="66">
        <v>1</v>
      </c>
      <c r="BT19" s="67"/>
      <c r="BU19" s="68"/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>
        <v>1</v>
      </c>
      <c r="F20" s="67"/>
      <c r="G20" s="68"/>
      <c r="H20" s="69">
        <v>0.5</v>
      </c>
      <c r="I20" s="70"/>
      <c r="J20" s="67"/>
      <c r="K20" s="71"/>
      <c r="L20" s="68"/>
      <c r="M20" s="72"/>
      <c r="N20" s="74"/>
      <c r="O20" s="65"/>
      <c r="P20" s="66">
        <v>1</v>
      </c>
      <c r="Q20" s="67"/>
      <c r="R20" s="68"/>
      <c r="S20" s="69"/>
      <c r="T20" s="70"/>
      <c r="U20" s="67"/>
      <c r="V20" s="71"/>
      <c r="W20" s="68"/>
      <c r="X20" s="72"/>
      <c r="Y20" s="74"/>
      <c r="Z20" s="65"/>
      <c r="AA20" s="66"/>
      <c r="AB20" s="67"/>
      <c r="AC20" s="68">
        <v>1</v>
      </c>
      <c r="AD20" s="69"/>
      <c r="AE20" s="70"/>
      <c r="AF20" s="67"/>
      <c r="AG20" s="71"/>
      <c r="AH20" s="68"/>
      <c r="AI20" s="72"/>
      <c r="AJ20" s="74"/>
      <c r="AK20" s="65"/>
      <c r="AL20" s="66"/>
      <c r="AM20" s="67">
        <v>1</v>
      </c>
      <c r="AN20" s="68"/>
      <c r="AO20" s="69"/>
      <c r="AP20" s="70"/>
      <c r="AQ20" s="67"/>
      <c r="AR20" s="71"/>
      <c r="AS20" s="68"/>
      <c r="AT20" s="72"/>
      <c r="AU20" s="74"/>
      <c r="AV20" s="65"/>
      <c r="AW20" s="66">
        <v>1</v>
      </c>
      <c r="AX20" s="67"/>
      <c r="AY20" s="68">
        <v>1</v>
      </c>
      <c r="AZ20" s="69"/>
      <c r="BA20" s="70"/>
      <c r="BB20" s="67"/>
      <c r="BC20" s="71"/>
      <c r="BD20" s="68"/>
      <c r="BE20" s="72"/>
      <c r="BF20" s="74"/>
      <c r="BG20" s="65"/>
      <c r="BH20" s="66">
        <v>1</v>
      </c>
      <c r="BI20" s="67"/>
      <c r="BJ20" s="68"/>
      <c r="BK20" s="69"/>
      <c r="BL20" s="70"/>
      <c r="BM20" s="67"/>
      <c r="BN20" s="71"/>
      <c r="BO20" s="68"/>
      <c r="BP20" s="72"/>
      <c r="BQ20" s="74"/>
      <c r="BR20" s="65"/>
      <c r="BS20" s="66"/>
      <c r="BT20" s="67"/>
      <c r="BU20" s="68"/>
      <c r="BV20" s="69"/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>
        <v>1</v>
      </c>
      <c r="F21" s="67"/>
      <c r="G21" s="68"/>
      <c r="H21" s="69"/>
      <c r="I21" s="70"/>
      <c r="J21" s="67"/>
      <c r="K21" s="71"/>
      <c r="L21" s="68"/>
      <c r="M21" s="72"/>
      <c r="N21" s="73"/>
      <c r="O21" s="65"/>
      <c r="P21" s="66"/>
      <c r="Q21" s="67"/>
      <c r="R21" s="68">
        <v>1</v>
      </c>
      <c r="S21" s="69"/>
      <c r="T21" s="70"/>
      <c r="U21" s="67"/>
      <c r="V21" s="71"/>
      <c r="W21" s="68"/>
      <c r="X21" s="72"/>
      <c r="Y21" s="73"/>
      <c r="Z21" s="65"/>
      <c r="AA21" s="66"/>
      <c r="AB21" s="67"/>
      <c r="AC21" s="68"/>
      <c r="AD21" s="69">
        <v>1</v>
      </c>
      <c r="AE21" s="70"/>
      <c r="AF21" s="67"/>
      <c r="AG21" s="71"/>
      <c r="AH21" s="68"/>
      <c r="AI21" s="72"/>
      <c r="AJ21" s="73"/>
      <c r="AK21" s="65"/>
      <c r="AL21" s="66"/>
      <c r="AM21" s="67"/>
      <c r="AN21" s="68"/>
      <c r="AO21" s="69">
        <v>1</v>
      </c>
      <c r="AP21" s="70"/>
      <c r="AQ21" s="67"/>
      <c r="AR21" s="71"/>
      <c r="AS21" s="68"/>
      <c r="AT21" s="72"/>
      <c r="AU21" s="73"/>
      <c r="AV21" s="65"/>
      <c r="AW21" s="66"/>
      <c r="AX21" s="67"/>
      <c r="AY21" s="68"/>
      <c r="AZ21" s="69"/>
      <c r="BA21" s="70"/>
      <c r="BB21" s="67"/>
      <c r="BC21" s="71"/>
      <c r="BD21" s="68"/>
      <c r="BE21" s="72"/>
      <c r="BF21" s="73"/>
      <c r="BG21" s="65"/>
      <c r="BH21" s="66"/>
      <c r="BI21" s="67"/>
      <c r="BJ21" s="68"/>
      <c r="BK21" s="69">
        <v>1</v>
      </c>
      <c r="BL21" s="70"/>
      <c r="BM21" s="67"/>
      <c r="BN21" s="71"/>
      <c r="BO21" s="68"/>
      <c r="BP21" s="72"/>
      <c r="BQ21" s="73"/>
      <c r="BR21" s="65"/>
      <c r="BS21" s="66">
        <v>1</v>
      </c>
      <c r="BT21" s="67">
        <v>1</v>
      </c>
      <c r="BU21" s="68"/>
      <c r="BV21" s="69"/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/>
      <c r="G22" s="68"/>
      <c r="H22" s="69">
        <v>1</v>
      </c>
      <c r="I22" s="70"/>
      <c r="J22" s="67"/>
      <c r="K22" s="71"/>
      <c r="L22" s="68"/>
      <c r="M22" s="72"/>
      <c r="N22" s="73"/>
      <c r="O22" s="65"/>
      <c r="P22" s="66"/>
      <c r="Q22" s="67"/>
      <c r="R22" s="68">
        <v>1</v>
      </c>
      <c r="S22" s="69"/>
      <c r="T22" s="70"/>
      <c r="U22" s="67"/>
      <c r="V22" s="71"/>
      <c r="W22" s="68"/>
      <c r="X22" s="72"/>
      <c r="Y22" s="73"/>
      <c r="Z22" s="65"/>
      <c r="AA22" s="66"/>
      <c r="AB22" s="67"/>
      <c r="AC22" s="68">
        <v>1</v>
      </c>
      <c r="AD22" s="69">
        <v>1</v>
      </c>
      <c r="AE22" s="70"/>
      <c r="AF22" s="67"/>
      <c r="AG22" s="71"/>
      <c r="AH22" s="68"/>
      <c r="AI22" s="72"/>
      <c r="AJ22" s="73"/>
      <c r="AK22" s="65"/>
      <c r="AL22" s="66"/>
      <c r="AM22" s="67"/>
      <c r="AN22" s="68">
        <v>1</v>
      </c>
      <c r="AO22" s="69">
        <v>1</v>
      </c>
      <c r="AP22" s="70"/>
      <c r="AQ22" s="67"/>
      <c r="AR22" s="71"/>
      <c r="AS22" s="68"/>
      <c r="AT22" s="72"/>
      <c r="AU22" s="73"/>
      <c r="AV22" s="65"/>
      <c r="AW22" s="66"/>
      <c r="AX22" s="67"/>
      <c r="AY22" s="68">
        <v>1</v>
      </c>
      <c r="AZ22" s="69">
        <v>1</v>
      </c>
      <c r="BA22" s="70"/>
      <c r="BB22" s="67"/>
      <c r="BC22" s="71"/>
      <c r="BD22" s="68"/>
      <c r="BE22" s="72"/>
      <c r="BF22" s="73"/>
      <c r="BG22" s="65"/>
      <c r="BH22" s="66"/>
      <c r="BI22" s="67"/>
      <c r="BJ22" s="68">
        <v>1</v>
      </c>
      <c r="BK22" s="69">
        <v>1</v>
      </c>
      <c r="BL22" s="70"/>
      <c r="BM22" s="67"/>
      <c r="BN22" s="71"/>
      <c r="BO22" s="68"/>
      <c r="BP22" s="72"/>
      <c r="BQ22" s="73"/>
      <c r="BR22" s="65"/>
      <c r="BS22" s="66">
        <v>1</v>
      </c>
      <c r="BT22" s="67"/>
      <c r="BU22" s="68">
        <v>1</v>
      </c>
      <c r="BV22" s="69">
        <v>1</v>
      </c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/>
      <c r="E23" s="66"/>
      <c r="F23" s="67"/>
      <c r="G23" s="68"/>
      <c r="H23" s="69">
        <v>1</v>
      </c>
      <c r="I23" s="70"/>
      <c r="J23" s="67"/>
      <c r="K23" s="71"/>
      <c r="L23" s="68"/>
      <c r="M23" s="72"/>
      <c r="N23" s="73"/>
      <c r="O23" s="65"/>
      <c r="P23" s="66"/>
      <c r="Q23" s="67"/>
      <c r="R23" s="68">
        <v>1</v>
      </c>
      <c r="S23" s="69"/>
      <c r="T23" s="70"/>
      <c r="U23" s="67"/>
      <c r="V23" s="71"/>
      <c r="W23" s="68"/>
      <c r="X23" s="72"/>
      <c r="Y23" s="73"/>
      <c r="Z23" s="65"/>
      <c r="AA23" s="66"/>
      <c r="AB23" s="67"/>
      <c r="AC23" s="68">
        <v>1</v>
      </c>
      <c r="AD23" s="69">
        <v>1</v>
      </c>
      <c r="AE23" s="70"/>
      <c r="AF23" s="67"/>
      <c r="AG23" s="71"/>
      <c r="AH23" s="68"/>
      <c r="AI23" s="72"/>
      <c r="AJ23" s="73"/>
      <c r="AK23" s="65"/>
      <c r="AL23" s="66"/>
      <c r="AM23" s="67"/>
      <c r="AN23" s="68"/>
      <c r="AO23" s="69">
        <v>1</v>
      </c>
      <c r="AP23" s="70"/>
      <c r="AQ23" s="67"/>
      <c r="AR23" s="71"/>
      <c r="AS23" s="68"/>
      <c r="AT23" s="72"/>
      <c r="AU23" s="73"/>
      <c r="AV23" s="65"/>
      <c r="AW23" s="66"/>
      <c r="AX23" s="67"/>
      <c r="AY23" s="68">
        <v>1</v>
      </c>
      <c r="AZ23" s="69"/>
      <c r="BA23" s="70"/>
      <c r="BB23" s="67"/>
      <c r="BC23" s="71"/>
      <c r="BD23" s="68"/>
      <c r="BE23" s="72"/>
      <c r="BF23" s="73"/>
      <c r="BG23" s="65"/>
      <c r="BH23" s="66"/>
      <c r="BI23" s="67"/>
      <c r="BJ23" s="68">
        <v>1</v>
      </c>
      <c r="BK23" s="69">
        <v>1</v>
      </c>
      <c r="BL23" s="70"/>
      <c r="BM23" s="67"/>
      <c r="BN23" s="71"/>
      <c r="BO23" s="68"/>
      <c r="BP23" s="72"/>
      <c r="BQ23" s="73"/>
      <c r="BR23" s="65"/>
      <c r="BS23" s="66">
        <v>0.5</v>
      </c>
      <c r="BT23" s="67">
        <v>1</v>
      </c>
      <c r="BU23" s="68"/>
      <c r="BV23" s="69"/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/>
      <c r="E24" s="66"/>
      <c r="F24" s="67"/>
      <c r="G24" s="68"/>
      <c r="H24" s="69">
        <v>1</v>
      </c>
      <c r="I24" s="70"/>
      <c r="J24" s="67"/>
      <c r="K24" s="71"/>
      <c r="L24" s="68"/>
      <c r="M24" s="72"/>
      <c r="N24" s="73"/>
      <c r="O24" s="65"/>
      <c r="P24" s="66"/>
      <c r="Q24" s="67"/>
      <c r="R24" s="68"/>
      <c r="S24" s="69"/>
      <c r="T24" s="70"/>
      <c r="U24" s="67"/>
      <c r="V24" s="71"/>
      <c r="W24" s="68"/>
      <c r="X24" s="72"/>
      <c r="Y24" s="73"/>
      <c r="Z24" s="65"/>
      <c r="AA24" s="66"/>
      <c r="AB24" s="67"/>
      <c r="AC24" s="68">
        <v>1</v>
      </c>
      <c r="AD24" s="69">
        <v>1</v>
      </c>
      <c r="AE24" s="70"/>
      <c r="AF24" s="67"/>
      <c r="AG24" s="71"/>
      <c r="AH24" s="68"/>
      <c r="AI24" s="72"/>
      <c r="AJ24" s="73"/>
      <c r="AK24" s="65"/>
      <c r="AL24" s="66"/>
      <c r="AM24" s="67"/>
      <c r="AN24" s="68">
        <v>1</v>
      </c>
      <c r="AO24" s="69">
        <v>1</v>
      </c>
      <c r="AP24" s="70"/>
      <c r="AQ24" s="67"/>
      <c r="AR24" s="71"/>
      <c r="AS24" s="68"/>
      <c r="AT24" s="72"/>
      <c r="AU24" s="73"/>
      <c r="AV24" s="65"/>
      <c r="AW24" s="66"/>
      <c r="AX24" s="67"/>
      <c r="AY24" s="68">
        <v>1</v>
      </c>
      <c r="AZ24" s="69">
        <v>1</v>
      </c>
      <c r="BA24" s="70"/>
      <c r="BB24" s="67"/>
      <c r="BC24" s="71"/>
      <c r="BD24" s="68"/>
      <c r="BE24" s="72"/>
      <c r="BF24" s="73"/>
      <c r="BG24" s="65"/>
      <c r="BH24" s="66"/>
      <c r="BI24" s="67"/>
      <c r="BJ24" s="68">
        <v>1</v>
      </c>
      <c r="BK24" s="69">
        <v>1</v>
      </c>
      <c r="BL24" s="70"/>
      <c r="BM24" s="67"/>
      <c r="BN24" s="71"/>
      <c r="BO24" s="68"/>
      <c r="BP24" s="72"/>
      <c r="BQ24" s="73"/>
      <c r="BR24" s="65"/>
      <c r="BS24" s="66"/>
      <c r="BT24" s="67">
        <v>1</v>
      </c>
      <c r="BU24" s="68">
        <v>1</v>
      </c>
      <c r="BV24" s="69">
        <v>1</v>
      </c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/>
      <c r="E25" s="66"/>
      <c r="F25" s="67"/>
      <c r="G25" s="68"/>
      <c r="H25" s="69">
        <v>1</v>
      </c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/>
      <c r="S25" s="69"/>
      <c r="T25" s="70"/>
      <c r="U25" s="67"/>
      <c r="V25" s="71"/>
      <c r="W25" s="68"/>
      <c r="X25" s="72"/>
      <c r="Y25" s="73"/>
      <c r="Z25" s="65"/>
      <c r="AA25" s="66"/>
      <c r="AB25" s="67">
        <v>1</v>
      </c>
      <c r="AC25" s="68">
        <v>1</v>
      </c>
      <c r="AD25" s="69">
        <v>1</v>
      </c>
      <c r="AE25" s="70"/>
      <c r="AF25" s="67"/>
      <c r="AG25" s="71"/>
      <c r="AH25" s="68"/>
      <c r="AI25" s="72"/>
      <c r="AJ25" s="73"/>
      <c r="AK25" s="65"/>
      <c r="AL25" s="66"/>
      <c r="AM25" s="67"/>
      <c r="AN25" s="68">
        <v>1</v>
      </c>
      <c r="AO25" s="69"/>
      <c r="AP25" s="70"/>
      <c r="AQ25" s="67"/>
      <c r="AR25" s="71"/>
      <c r="AS25" s="68"/>
      <c r="AT25" s="72"/>
      <c r="AU25" s="73"/>
      <c r="AV25" s="65"/>
      <c r="AW25" s="66"/>
      <c r="AX25" s="67">
        <v>1</v>
      </c>
      <c r="AY25" s="68">
        <v>1</v>
      </c>
      <c r="AZ25" s="69">
        <v>1</v>
      </c>
      <c r="BA25" s="70"/>
      <c r="BB25" s="67"/>
      <c r="BC25" s="71"/>
      <c r="BD25" s="68"/>
      <c r="BE25" s="72"/>
      <c r="BF25" s="73"/>
      <c r="BG25" s="65"/>
      <c r="BH25" s="66"/>
      <c r="BI25" s="67"/>
      <c r="BJ25" s="68">
        <v>1</v>
      </c>
      <c r="BK25" s="69">
        <v>1</v>
      </c>
      <c r="BL25" s="70"/>
      <c r="BM25" s="67"/>
      <c r="BN25" s="71"/>
      <c r="BO25" s="68"/>
      <c r="BP25" s="72"/>
      <c r="BQ25" s="73"/>
      <c r="BR25" s="65"/>
      <c r="BS25" s="66"/>
      <c r="BT25" s="67">
        <v>1</v>
      </c>
      <c r="BU25" s="68">
        <v>1</v>
      </c>
      <c r="BV25" s="69">
        <v>1</v>
      </c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/>
      <c r="E26" s="66"/>
      <c r="F26" s="67"/>
      <c r="G26" s="68"/>
      <c r="H26" s="69">
        <v>1</v>
      </c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/>
      <c r="S26" s="69"/>
      <c r="T26" s="70"/>
      <c r="U26" s="67"/>
      <c r="V26" s="71"/>
      <c r="W26" s="68"/>
      <c r="X26" s="72"/>
      <c r="Y26" s="73"/>
      <c r="Z26" s="65"/>
      <c r="AA26" s="66"/>
      <c r="AB26" s="67">
        <v>1</v>
      </c>
      <c r="AC26" s="68">
        <v>1</v>
      </c>
      <c r="AD26" s="69">
        <v>1</v>
      </c>
      <c r="AE26" s="70"/>
      <c r="AF26" s="67"/>
      <c r="AG26" s="71"/>
      <c r="AH26" s="68"/>
      <c r="AI26" s="72"/>
      <c r="AJ26" s="73"/>
      <c r="AK26" s="65"/>
      <c r="AL26" s="66"/>
      <c r="AM26" s="67"/>
      <c r="AN26" s="68">
        <v>1</v>
      </c>
      <c r="AO26" s="69"/>
      <c r="AP26" s="70"/>
      <c r="AQ26" s="67"/>
      <c r="AR26" s="71"/>
      <c r="AS26" s="68"/>
      <c r="AT26" s="72"/>
      <c r="AU26" s="73"/>
      <c r="AV26" s="65"/>
      <c r="AW26" s="66"/>
      <c r="AX26" s="67">
        <v>1</v>
      </c>
      <c r="AY26" s="68">
        <v>1</v>
      </c>
      <c r="AZ26" s="69">
        <v>1</v>
      </c>
      <c r="BA26" s="70"/>
      <c r="BB26" s="67"/>
      <c r="BC26" s="71"/>
      <c r="BD26" s="68"/>
      <c r="BE26" s="72"/>
      <c r="BF26" s="73"/>
      <c r="BG26" s="65"/>
      <c r="BH26" s="66"/>
      <c r="BI26" s="67"/>
      <c r="BJ26" s="68">
        <v>1</v>
      </c>
      <c r="BK26" s="69"/>
      <c r="BL26" s="70"/>
      <c r="BM26" s="67"/>
      <c r="BN26" s="71"/>
      <c r="BO26" s="68"/>
      <c r="BP26" s="72"/>
      <c r="BQ26" s="73"/>
      <c r="BR26" s="65"/>
      <c r="BS26" s="66"/>
      <c r="BT26" s="67">
        <v>1</v>
      </c>
      <c r="BU26" s="68">
        <v>1</v>
      </c>
      <c r="BV26" s="69">
        <v>1</v>
      </c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/>
      <c r="E27" s="66"/>
      <c r="F27" s="67"/>
      <c r="G27" s="68"/>
      <c r="H27" s="69">
        <v>1</v>
      </c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/>
      <c r="S27" s="69"/>
      <c r="T27" s="70"/>
      <c r="U27" s="67"/>
      <c r="V27" s="71"/>
      <c r="W27" s="68"/>
      <c r="X27" s="72"/>
      <c r="Y27" s="73"/>
      <c r="Z27" s="65"/>
      <c r="AA27" s="66"/>
      <c r="AB27" s="67">
        <v>1</v>
      </c>
      <c r="AC27" s="68">
        <v>1</v>
      </c>
      <c r="AD27" s="69">
        <v>1</v>
      </c>
      <c r="AE27" s="70"/>
      <c r="AF27" s="67"/>
      <c r="AG27" s="71"/>
      <c r="AH27" s="68"/>
      <c r="AI27" s="72"/>
      <c r="AJ27" s="73"/>
      <c r="AK27" s="65"/>
      <c r="AL27" s="66"/>
      <c r="AM27" s="67"/>
      <c r="AN27" s="68">
        <v>1</v>
      </c>
      <c r="AO27" s="69"/>
      <c r="AP27" s="70"/>
      <c r="AQ27" s="67"/>
      <c r="AR27" s="71"/>
      <c r="AS27" s="68"/>
      <c r="AT27" s="72"/>
      <c r="AU27" s="73"/>
      <c r="AV27" s="65"/>
      <c r="AW27" s="66"/>
      <c r="AX27" s="67">
        <v>1</v>
      </c>
      <c r="AY27" s="68">
        <v>1</v>
      </c>
      <c r="AZ27" s="69">
        <v>1</v>
      </c>
      <c r="BA27" s="70"/>
      <c r="BB27" s="67"/>
      <c r="BC27" s="71"/>
      <c r="BD27" s="68"/>
      <c r="BE27" s="72"/>
      <c r="BF27" s="73"/>
      <c r="BG27" s="65"/>
      <c r="BH27" s="66"/>
      <c r="BI27" s="67"/>
      <c r="BJ27" s="68">
        <v>1</v>
      </c>
      <c r="BK27" s="69"/>
      <c r="BL27" s="70"/>
      <c r="BM27" s="67"/>
      <c r="BN27" s="71"/>
      <c r="BO27" s="68"/>
      <c r="BP27" s="72"/>
      <c r="BQ27" s="73"/>
      <c r="BR27" s="65"/>
      <c r="BS27" s="66"/>
      <c r="BT27" s="67">
        <v>1</v>
      </c>
      <c r="BU27" s="68">
        <v>1</v>
      </c>
      <c r="BV27" s="69">
        <v>1</v>
      </c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/>
      <c r="E28" s="66"/>
      <c r="F28" s="67"/>
      <c r="G28" s="68"/>
      <c r="H28" s="69">
        <v>1</v>
      </c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/>
      <c r="S28" s="69"/>
      <c r="T28" s="70"/>
      <c r="U28" s="67"/>
      <c r="V28" s="71"/>
      <c r="W28" s="68"/>
      <c r="X28" s="72"/>
      <c r="Y28" s="73"/>
      <c r="Z28" s="65"/>
      <c r="AA28" s="66"/>
      <c r="AB28" s="67">
        <v>1</v>
      </c>
      <c r="AC28" s="68">
        <v>0.5</v>
      </c>
      <c r="AD28" s="69">
        <v>1</v>
      </c>
      <c r="AE28" s="70"/>
      <c r="AF28" s="67"/>
      <c r="AG28" s="71"/>
      <c r="AH28" s="68"/>
      <c r="AI28" s="72"/>
      <c r="AJ28" s="73"/>
      <c r="AK28" s="65"/>
      <c r="AL28" s="66"/>
      <c r="AM28" s="67"/>
      <c r="AN28" s="68">
        <v>1</v>
      </c>
      <c r="AO28" s="71"/>
      <c r="AP28" s="71"/>
      <c r="AQ28" s="71"/>
      <c r="AR28" s="71"/>
      <c r="AS28" s="68"/>
      <c r="AT28" s="72"/>
      <c r="AU28" s="73"/>
      <c r="AV28" s="65"/>
      <c r="AW28" s="66"/>
      <c r="AX28" s="67">
        <v>1</v>
      </c>
      <c r="AY28" s="68">
        <v>1</v>
      </c>
      <c r="AZ28" s="69">
        <v>1</v>
      </c>
      <c r="BA28" s="70"/>
      <c r="BB28" s="67"/>
      <c r="BC28" s="71"/>
      <c r="BD28" s="68"/>
      <c r="BE28" s="72"/>
      <c r="BF28" s="73"/>
      <c r="BG28" s="65"/>
      <c r="BH28" s="66"/>
      <c r="BI28" s="67"/>
      <c r="BJ28" s="68">
        <v>1</v>
      </c>
      <c r="BK28" s="69"/>
      <c r="BL28" s="70"/>
      <c r="BM28" s="67"/>
      <c r="BN28" s="71"/>
      <c r="BO28" s="68"/>
      <c r="BP28" s="72"/>
      <c r="BQ28" s="73"/>
      <c r="BR28" s="65"/>
      <c r="BS28" s="66"/>
      <c r="BT28" s="67"/>
      <c r="BU28" s="68">
        <v>1</v>
      </c>
      <c r="BV28" s="69">
        <v>1</v>
      </c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11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12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13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14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15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16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17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>
        <f t="shared" ref="D33:M33" si="0">+D6</f>
        <v>0</v>
      </c>
      <c r="E33" s="31" t="str">
        <f t="shared" si="0"/>
        <v>ANAHY</v>
      </c>
      <c r="F33" s="32" t="str">
        <f t="shared" si="0"/>
        <v>MICHAEL</v>
      </c>
      <c r="G33" s="33" t="str">
        <f t="shared" si="0"/>
        <v>LINDSAY</v>
      </c>
      <c r="H33" s="34" t="str">
        <f t="shared" si="0"/>
        <v>MILA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>
        <f t="shared" ref="O33:X33" si="1">+O6</f>
        <v>0</v>
      </c>
      <c r="P33" s="31" t="str">
        <f t="shared" si="1"/>
        <v>ANAHY</v>
      </c>
      <c r="Q33" s="32" t="str">
        <f t="shared" si="1"/>
        <v>MICHAEL</v>
      </c>
      <c r="R33" s="33" t="str">
        <f t="shared" si="1"/>
        <v>LINDSAY</v>
      </c>
      <c r="S33" s="34" t="str">
        <f t="shared" si="1"/>
        <v>MILA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>
        <f t="shared" ref="Z33:AI33" si="2">+Z6</f>
        <v>0</v>
      </c>
      <c r="AA33" s="31" t="str">
        <f t="shared" si="2"/>
        <v>ANAHY</v>
      </c>
      <c r="AB33" s="32" t="str">
        <f t="shared" si="2"/>
        <v>MICHAEL</v>
      </c>
      <c r="AC33" s="33" t="str">
        <f t="shared" si="2"/>
        <v>LINDSAY</v>
      </c>
      <c r="AD33" s="34" t="str">
        <f t="shared" si="2"/>
        <v>MILA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>
        <f t="shared" ref="AK33:AT33" si="3">+AK6</f>
        <v>0</v>
      </c>
      <c r="AL33" s="31" t="str">
        <f t="shared" si="3"/>
        <v>ANAHY</v>
      </c>
      <c r="AM33" s="32" t="str">
        <f t="shared" si="3"/>
        <v>MICHAEL</v>
      </c>
      <c r="AN33" s="33" t="str">
        <f t="shared" si="3"/>
        <v>LINDSAY</v>
      </c>
      <c r="AO33" s="34" t="str">
        <f t="shared" si="3"/>
        <v>MILA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>
        <f t="shared" ref="AV33:BE33" si="4">+AV6</f>
        <v>0</v>
      </c>
      <c r="AW33" s="31" t="str">
        <f t="shared" si="4"/>
        <v>ANAHY</v>
      </c>
      <c r="AX33" s="32" t="str">
        <f t="shared" si="4"/>
        <v>MICHAEL</v>
      </c>
      <c r="AY33" s="33" t="str">
        <f t="shared" si="4"/>
        <v>LINDSAY</v>
      </c>
      <c r="AZ33" s="34" t="str">
        <f t="shared" si="4"/>
        <v>MILA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>
        <f t="shared" ref="BG33:BP33" si="5">+BG6</f>
        <v>0</v>
      </c>
      <c r="BH33" s="31" t="str">
        <f t="shared" si="5"/>
        <v>ANAHY</v>
      </c>
      <c r="BI33" s="32" t="str">
        <f t="shared" si="5"/>
        <v>MICHAEL</v>
      </c>
      <c r="BJ33" s="33" t="str">
        <f t="shared" si="5"/>
        <v>LINDSAY</v>
      </c>
      <c r="BK33" s="34" t="str">
        <f t="shared" si="5"/>
        <v>MILA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>
        <f t="shared" ref="BR33:CA33" si="6">+BR6</f>
        <v>0</v>
      </c>
      <c r="BS33" s="31" t="str">
        <f t="shared" si="6"/>
        <v>ANAHY</v>
      </c>
      <c r="BT33" s="32" t="str">
        <f t="shared" si="6"/>
        <v>MICHAEL</v>
      </c>
      <c r="BU33" s="33" t="str">
        <f t="shared" si="6"/>
        <v>LINDSAY</v>
      </c>
      <c r="BV33" s="34" t="str">
        <f t="shared" si="6"/>
        <v>MILA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0</v>
      </c>
      <c r="E34" s="48">
        <f t="shared" ref="E34:M34" si="7">SUM(E7:E30)</f>
        <v>6</v>
      </c>
      <c r="F34" s="49">
        <f t="shared" si="7"/>
        <v>1.5</v>
      </c>
      <c r="G34" s="50">
        <f t="shared" si="7"/>
        <v>1.5</v>
      </c>
      <c r="H34" s="51">
        <f t="shared" si="7"/>
        <v>9</v>
      </c>
      <c r="I34" s="52">
        <f t="shared" si="7"/>
        <v>0.5</v>
      </c>
      <c r="J34" s="49">
        <f t="shared" si="7"/>
        <v>0.5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0</v>
      </c>
      <c r="P34" s="48">
        <f t="shared" si="8"/>
        <v>4</v>
      </c>
      <c r="Q34" s="49">
        <f t="shared" si="8"/>
        <v>4</v>
      </c>
      <c r="R34" s="50">
        <f t="shared" si="8"/>
        <v>7</v>
      </c>
      <c r="S34" s="51">
        <f t="shared" si="8"/>
        <v>1.5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0</v>
      </c>
      <c r="AA34" s="48">
        <f t="shared" si="9"/>
        <v>0</v>
      </c>
      <c r="AB34" s="49">
        <f t="shared" si="9"/>
        <v>4</v>
      </c>
      <c r="AC34" s="50">
        <f t="shared" si="9"/>
        <v>11.5</v>
      </c>
      <c r="AD34" s="51">
        <f t="shared" si="9"/>
        <v>10.5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0</v>
      </c>
      <c r="AL34" s="48">
        <f t="shared" si="10"/>
        <v>0</v>
      </c>
      <c r="AM34" s="49">
        <f t="shared" si="10"/>
        <v>4</v>
      </c>
      <c r="AN34" s="50">
        <f t="shared" si="10"/>
        <v>6</v>
      </c>
      <c r="AO34" s="51">
        <f t="shared" si="10"/>
        <v>7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0</v>
      </c>
      <c r="AW34" s="48">
        <f t="shared" si="11"/>
        <v>4</v>
      </c>
      <c r="AX34" s="49">
        <f t="shared" si="11"/>
        <v>4</v>
      </c>
      <c r="AY34" s="50">
        <f t="shared" si="11"/>
        <v>9</v>
      </c>
      <c r="AZ34" s="51">
        <f t="shared" si="11"/>
        <v>6</v>
      </c>
      <c r="BA34" s="52">
        <f t="shared" si="11"/>
        <v>0</v>
      </c>
      <c r="BB34" s="49">
        <f t="shared" si="11"/>
        <v>0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0</v>
      </c>
      <c r="BH34" s="48">
        <f t="shared" si="12"/>
        <v>4</v>
      </c>
      <c r="BI34" s="49">
        <f t="shared" si="12"/>
        <v>0</v>
      </c>
      <c r="BJ34" s="50">
        <f t="shared" si="12"/>
        <v>7</v>
      </c>
      <c r="BK34" s="51">
        <f t="shared" si="12"/>
        <v>8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0</v>
      </c>
      <c r="BS34" s="48">
        <f t="shared" si="13"/>
        <v>5.5</v>
      </c>
      <c r="BT34" s="49">
        <f t="shared" si="13"/>
        <v>6</v>
      </c>
      <c r="BU34" s="50">
        <f t="shared" si="13"/>
        <v>6</v>
      </c>
      <c r="BV34" s="51">
        <f t="shared" si="13"/>
        <v>6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/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0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36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23.5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37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23.5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48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39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48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0.5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0.5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  <mergeCell ref="B41:J41"/>
    <mergeCell ref="L41:N41"/>
    <mergeCell ref="B42:J42"/>
    <mergeCell ref="L42:N42"/>
    <mergeCell ref="B43:J43"/>
    <mergeCell ref="L43:N43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</mergeCells>
  <conditionalFormatting sqref="D7:M14 D29:M30">
    <cfRule type="expression" dxfId="230" priority="14">
      <formula>IF(OR(D7=0,D7=""),TRUE(),FALSE())</formula>
    </cfRule>
  </conditionalFormatting>
  <conditionalFormatting sqref="D15:M28">
    <cfRule type="expression" dxfId="229" priority="13">
      <formula>IF(OR(D15=0,D15=""),TRUE(),FALSE())</formula>
    </cfRule>
  </conditionalFormatting>
  <conditionalFormatting sqref="O7:X14 O29:X30">
    <cfRule type="expression" dxfId="228" priority="12">
      <formula>IF(OR(O7=0,O7=""),TRUE(),FALSE())</formula>
    </cfRule>
  </conditionalFormatting>
  <conditionalFormatting sqref="O15:X28">
    <cfRule type="expression" dxfId="227" priority="11">
      <formula>IF(OR(O15=0,O15=""),TRUE(),FALSE())</formula>
    </cfRule>
  </conditionalFormatting>
  <conditionalFormatting sqref="Z7:AI14 Z29:AI30">
    <cfRule type="expression" dxfId="226" priority="10">
      <formula>IF(OR(Z7=0,Z7=""),TRUE(),FALSE())</formula>
    </cfRule>
  </conditionalFormatting>
  <conditionalFormatting sqref="Z15:AI28">
    <cfRule type="expression" dxfId="225" priority="9">
      <formula>IF(OR(Z15=0,Z15=""),TRUE(),FALSE())</formula>
    </cfRule>
  </conditionalFormatting>
  <conditionalFormatting sqref="AK7:AT14 AK29:AT30">
    <cfRule type="expression" dxfId="224" priority="8">
      <formula>IF(OR(AK7=0,AK7=""),TRUE(),FALSE())</formula>
    </cfRule>
  </conditionalFormatting>
  <conditionalFormatting sqref="AK15:AT28">
    <cfRule type="expression" dxfId="223" priority="7">
      <formula>IF(OR(AK15=0,AK15=""),TRUE(),FALSE())</formula>
    </cfRule>
  </conditionalFormatting>
  <conditionalFormatting sqref="AV7:BE14 AV29:BE30">
    <cfRule type="expression" dxfId="222" priority="6">
      <formula>IF(OR(AV7=0,AV7=""),TRUE(),FALSE())</formula>
    </cfRule>
  </conditionalFormatting>
  <conditionalFormatting sqref="AV15:BE28">
    <cfRule type="expression" dxfId="221" priority="5">
      <formula>IF(OR(AV15=0,AV15=""),TRUE(),FALSE())</formula>
    </cfRule>
  </conditionalFormatting>
  <conditionalFormatting sqref="BG7:BP14 BG29:BP30">
    <cfRule type="expression" dxfId="220" priority="4">
      <formula>IF(OR(BG7=0,BG7=""),TRUE(),FALSE())</formula>
    </cfRule>
  </conditionalFormatting>
  <conditionalFormatting sqref="BG15:BP28">
    <cfRule type="expression" dxfId="219" priority="3">
      <formula>IF(OR(BG15=0,BG15=""),TRUE(),FALSE())</formula>
    </cfRule>
  </conditionalFormatting>
  <conditionalFormatting sqref="BR7:CA14 BR29:CA30">
    <cfRule type="expression" dxfId="218" priority="2">
      <formula>IF(OR(BR7=0,BR7=""),TRUE(),FALSE())</formula>
    </cfRule>
  </conditionalFormatting>
  <conditionalFormatting sqref="BR15:CA28">
    <cfRule type="expression" dxfId="217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109C14E8-8286-4F2A-AF0E-06A1509CA211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66701-1635-475E-992E-08F6642BFB62}">
  <sheetPr codeName="Hoja13"/>
  <dimension ref="A1:CA48"/>
  <sheetViews>
    <sheetView showGridLines="0" zoomScale="80" zoomScaleNormal="80" workbookViewId="0">
      <selection activeCell="AX23" sqref="AX23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18 DE MARZO AL 24 DE MARZO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46099</v>
      </c>
      <c r="D5" s="63" t="str">
        <f>CONCATENATE("Lunes ",TEXT(DAY(C5),"00"))</f>
        <v>Lunes 18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19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20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21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22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23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24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/>
      <c r="E6" s="9" t="s">
        <v>33</v>
      </c>
      <c r="F6" s="10" t="s">
        <v>31</v>
      </c>
      <c r="G6" s="11" t="s">
        <v>21</v>
      </c>
      <c r="H6" s="12" t="s">
        <v>13</v>
      </c>
      <c r="I6" s="13"/>
      <c r="J6" s="10"/>
      <c r="K6" s="14"/>
      <c r="L6" s="11"/>
      <c r="M6" s="15"/>
      <c r="O6" s="8">
        <f>D6</f>
        <v>0</v>
      </c>
      <c r="P6" s="9" t="str">
        <f>E6</f>
        <v>ANAHY</v>
      </c>
      <c r="Q6" s="10" t="str">
        <f>F6</f>
        <v>MICHAEL</v>
      </c>
      <c r="R6" s="11" t="str">
        <f>G6</f>
        <v>LINDSAY</v>
      </c>
      <c r="S6" s="12" t="str">
        <f>H6</f>
        <v>MILA</v>
      </c>
      <c r="T6" s="13"/>
      <c r="U6" s="10"/>
      <c r="V6" s="14"/>
      <c r="W6" s="11"/>
      <c r="X6" s="15"/>
      <c r="Z6" s="8">
        <f>O6</f>
        <v>0</v>
      </c>
      <c r="AA6" s="9" t="s">
        <v>33</v>
      </c>
      <c r="AB6" s="10" t="str">
        <f>Q6</f>
        <v>MICHAEL</v>
      </c>
      <c r="AC6" s="11" t="str">
        <f>R6</f>
        <v>LINDSAY</v>
      </c>
      <c r="AD6" s="12" t="str">
        <f>H6</f>
        <v>MILA</v>
      </c>
      <c r="AE6" s="13"/>
      <c r="AF6" s="10"/>
      <c r="AG6" s="14"/>
      <c r="AH6" s="11"/>
      <c r="AI6" s="15"/>
      <c r="AK6" s="8">
        <f>Z6</f>
        <v>0</v>
      </c>
      <c r="AL6" s="9" t="str">
        <f>AA6</f>
        <v>ANAHY</v>
      </c>
      <c r="AM6" s="10" t="str">
        <f>Q6</f>
        <v>MICHAEL</v>
      </c>
      <c r="AN6" s="11" t="str">
        <f>AC6</f>
        <v>LINDSAY</v>
      </c>
      <c r="AO6" s="12" t="str">
        <f>H6</f>
        <v>MILA</v>
      </c>
      <c r="AP6" s="13"/>
      <c r="AQ6" s="10"/>
      <c r="AR6" s="14"/>
      <c r="AS6" s="11"/>
      <c r="AT6" s="15"/>
      <c r="AV6" s="8">
        <f>AK6</f>
        <v>0</v>
      </c>
      <c r="AW6" s="9" t="s">
        <v>33</v>
      </c>
      <c r="AX6" s="10" t="str">
        <f>AB6</f>
        <v>MICHAEL</v>
      </c>
      <c r="AY6" s="11" t="str">
        <f>AN6</f>
        <v>LINDSAY</v>
      </c>
      <c r="AZ6" s="12" t="str">
        <f>H6</f>
        <v>MILA</v>
      </c>
      <c r="BA6" s="13"/>
      <c r="BB6" s="10"/>
      <c r="BC6" s="14"/>
      <c r="BD6" s="11"/>
      <c r="BE6" s="15"/>
      <c r="BG6" s="8">
        <f>AV6</f>
        <v>0</v>
      </c>
      <c r="BH6" s="9" t="s">
        <v>33</v>
      </c>
      <c r="BI6" s="10" t="str">
        <f>AX6</f>
        <v>MICHAEL</v>
      </c>
      <c r="BJ6" s="11" t="str">
        <f>AC6</f>
        <v>LINDSAY</v>
      </c>
      <c r="BK6" s="12" t="str">
        <f>S6</f>
        <v>MILA</v>
      </c>
      <c r="BL6" s="13"/>
      <c r="BM6" s="10"/>
      <c r="BN6" s="14"/>
      <c r="BO6" s="11"/>
      <c r="BP6" s="15"/>
      <c r="BR6" s="8">
        <f>AV6</f>
        <v>0</v>
      </c>
      <c r="BS6" s="9" t="str">
        <f>BH6</f>
        <v>ANAHY</v>
      </c>
      <c r="BT6" s="10" t="str">
        <f>AX6</f>
        <v>MICHAEL</v>
      </c>
      <c r="BU6" s="11" t="str">
        <f>BJ6</f>
        <v>LINDSAY</v>
      </c>
      <c r="BV6" s="12" t="s">
        <v>13</v>
      </c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/>
      <c r="BB14" s="18"/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/>
      <c r="H15" s="69"/>
      <c r="I15" s="70"/>
      <c r="J15" s="67"/>
      <c r="K15" s="71"/>
      <c r="L15" s="68"/>
      <c r="M15" s="72"/>
      <c r="N15" s="73"/>
      <c r="O15" s="65"/>
      <c r="P15" s="66"/>
      <c r="Q15" s="67"/>
      <c r="R15" s="68"/>
      <c r="S15" s="69"/>
      <c r="T15" s="70"/>
      <c r="U15" s="67"/>
      <c r="V15" s="71"/>
      <c r="W15" s="68"/>
      <c r="X15" s="72"/>
      <c r="Y15" s="73"/>
      <c r="Z15" s="65"/>
      <c r="AA15" s="66"/>
      <c r="AB15" s="67"/>
      <c r="AC15" s="68"/>
      <c r="AD15" s="69"/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/>
      <c r="BI15" s="67"/>
      <c r="BJ15" s="68"/>
      <c r="BK15" s="69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/>
      <c r="F16" s="67"/>
      <c r="G16" s="68"/>
      <c r="H16" s="69"/>
      <c r="I16" s="70">
        <v>0.5</v>
      </c>
      <c r="J16" s="67">
        <v>0.5</v>
      </c>
      <c r="K16" s="71"/>
      <c r="L16" s="68"/>
      <c r="M16" s="72"/>
      <c r="N16" s="73"/>
      <c r="O16" s="65"/>
      <c r="P16" s="66"/>
      <c r="Q16" s="67"/>
      <c r="R16" s="68"/>
      <c r="S16" s="69"/>
      <c r="T16" s="70"/>
      <c r="U16" s="67"/>
      <c r="V16" s="71"/>
      <c r="W16" s="68"/>
      <c r="X16" s="72"/>
      <c r="Y16" s="73"/>
      <c r="Z16" s="65"/>
      <c r="AA16" s="66"/>
      <c r="AB16" s="67"/>
      <c r="AC16" s="68"/>
      <c r="AD16" s="69"/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6"/>
      <c r="BI16" s="67"/>
      <c r="BJ16" s="68"/>
      <c r="BK16" s="69"/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>
        <v>1</v>
      </c>
      <c r="F17" s="67"/>
      <c r="G17" s="68"/>
      <c r="H17" s="69"/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>
        <v>1</v>
      </c>
      <c r="S17" s="69"/>
      <c r="T17" s="70"/>
      <c r="U17" s="67"/>
      <c r="V17" s="71"/>
      <c r="W17" s="68"/>
      <c r="X17" s="72"/>
      <c r="Y17" s="73"/>
      <c r="Z17" s="65"/>
      <c r="AA17" s="66"/>
      <c r="AB17" s="67"/>
      <c r="AC17" s="68">
        <v>1</v>
      </c>
      <c r="AD17" s="69"/>
      <c r="AE17" s="70"/>
      <c r="AF17" s="67"/>
      <c r="AG17" s="71"/>
      <c r="AH17" s="68"/>
      <c r="AI17" s="72"/>
      <c r="AJ17" s="73"/>
      <c r="AK17" s="65"/>
      <c r="AL17" s="66"/>
      <c r="AM17" s="67">
        <v>1</v>
      </c>
      <c r="AN17" s="68"/>
      <c r="AO17" s="69"/>
      <c r="AP17" s="70"/>
      <c r="AQ17" s="67"/>
      <c r="AR17" s="71"/>
      <c r="AS17" s="68"/>
      <c r="AT17" s="72"/>
      <c r="AU17" s="73"/>
      <c r="AV17" s="65"/>
      <c r="AW17" s="66">
        <v>1</v>
      </c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>
        <v>1</v>
      </c>
      <c r="BI17" s="67"/>
      <c r="BJ17" s="68"/>
      <c r="BK17" s="69">
        <v>1</v>
      </c>
      <c r="BL17" s="70"/>
      <c r="BM17" s="67"/>
      <c r="BN17" s="71"/>
      <c r="BO17" s="68"/>
      <c r="BP17" s="72"/>
      <c r="BQ17" s="73"/>
      <c r="BR17" s="65"/>
      <c r="BS17" s="66"/>
      <c r="BT17" s="67">
        <v>1</v>
      </c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>
        <v>1</v>
      </c>
      <c r="F18" s="67"/>
      <c r="G18" s="68"/>
      <c r="H18" s="69">
        <v>1</v>
      </c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>
        <v>1</v>
      </c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>
        <v>1</v>
      </c>
      <c r="AD18" s="69"/>
      <c r="AE18" s="70"/>
      <c r="AF18" s="67"/>
      <c r="AG18" s="71"/>
      <c r="AH18" s="68"/>
      <c r="AI18" s="72"/>
      <c r="AJ18" s="73"/>
      <c r="AK18" s="65"/>
      <c r="AL18" s="66"/>
      <c r="AM18" s="67">
        <v>1</v>
      </c>
      <c r="AN18" s="68"/>
      <c r="AO18" s="69">
        <v>1</v>
      </c>
      <c r="AP18" s="70"/>
      <c r="AQ18" s="67"/>
      <c r="AR18" s="71"/>
      <c r="AS18" s="68"/>
      <c r="AT18" s="72"/>
      <c r="AU18" s="73"/>
      <c r="AV18" s="65"/>
      <c r="AW18" s="66">
        <v>1</v>
      </c>
      <c r="AX18" s="67"/>
      <c r="AY18" s="68"/>
      <c r="AZ18" s="69"/>
      <c r="BA18" s="70"/>
      <c r="BB18" s="67"/>
      <c r="BC18" s="71"/>
      <c r="BD18" s="68"/>
      <c r="BE18" s="72"/>
      <c r="BF18" s="73"/>
      <c r="BG18" s="65"/>
      <c r="BH18" s="66">
        <v>1</v>
      </c>
      <c r="BI18" s="67"/>
      <c r="BJ18" s="68"/>
      <c r="BK18" s="69">
        <v>1</v>
      </c>
      <c r="BL18" s="70"/>
      <c r="BM18" s="67"/>
      <c r="BN18" s="71"/>
      <c r="BO18" s="68"/>
      <c r="BP18" s="72"/>
      <c r="BQ18" s="73"/>
      <c r="BR18" s="65"/>
      <c r="BS18" s="66"/>
      <c r="BT18" s="67">
        <v>1</v>
      </c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>
        <v>1</v>
      </c>
      <c r="F19" s="67"/>
      <c r="G19" s="68"/>
      <c r="H19" s="69">
        <v>1</v>
      </c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>
        <v>1</v>
      </c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>
        <v>1</v>
      </c>
      <c r="AD19" s="69">
        <v>1</v>
      </c>
      <c r="AE19" s="70"/>
      <c r="AF19" s="67"/>
      <c r="AG19" s="71"/>
      <c r="AH19" s="68"/>
      <c r="AI19" s="72"/>
      <c r="AJ19" s="73"/>
      <c r="AK19" s="65"/>
      <c r="AL19" s="66"/>
      <c r="AM19" s="67">
        <v>1</v>
      </c>
      <c r="AN19" s="68"/>
      <c r="AO19" s="69">
        <v>1</v>
      </c>
      <c r="AP19" s="70"/>
      <c r="AQ19" s="67"/>
      <c r="AR19" s="71"/>
      <c r="AS19" s="68"/>
      <c r="AT19" s="72"/>
      <c r="AU19" s="73"/>
      <c r="AV19" s="65"/>
      <c r="AW19" s="66">
        <v>1</v>
      </c>
      <c r="AX19" s="67"/>
      <c r="AY19" s="68">
        <v>1</v>
      </c>
      <c r="AZ19" s="69"/>
      <c r="BA19" s="70"/>
      <c r="BB19" s="67"/>
      <c r="BC19" s="71"/>
      <c r="BD19" s="68"/>
      <c r="BE19" s="72"/>
      <c r="BF19" s="73"/>
      <c r="BG19" s="65"/>
      <c r="BH19" s="66">
        <v>1</v>
      </c>
      <c r="BI19" s="67"/>
      <c r="BJ19" s="68"/>
      <c r="BK19" s="69">
        <v>1</v>
      </c>
      <c r="BL19" s="70"/>
      <c r="BM19" s="67"/>
      <c r="BN19" s="71"/>
      <c r="BO19" s="68"/>
      <c r="BP19" s="72"/>
      <c r="BQ19" s="73"/>
      <c r="BR19" s="65"/>
      <c r="BS19" s="66"/>
      <c r="BT19" s="67"/>
      <c r="BU19" s="68">
        <v>0.5</v>
      </c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>
        <v>1</v>
      </c>
      <c r="F20" s="67"/>
      <c r="G20" s="68"/>
      <c r="H20" s="69">
        <v>1</v>
      </c>
      <c r="I20" s="70"/>
      <c r="J20" s="67"/>
      <c r="K20" s="71"/>
      <c r="L20" s="68"/>
      <c r="M20" s="72"/>
      <c r="N20" s="74"/>
      <c r="O20" s="65"/>
      <c r="P20" s="66">
        <v>1</v>
      </c>
      <c r="Q20" s="67"/>
      <c r="R20" s="68"/>
      <c r="S20" s="69"/>
      <c r="T20" s="70"/>
      <c r="U20" s="67"/>
      <c r="V20" s="71"/>
      <c r="W20" s="68"/>
      <c r="X20" s="72"/>
      <c r="Y20" s="74"/>
      <c r="Z20" s="65"/>
      <c r="AA20" s="66"/>
      <c r="AB20" s="67"/>
      <c r="AC20" s="68">
        <v>1</v>
      </c>
      <c r="AD20" s="69"/>
      <c r="AE20" s="70"/>
      <c r="AF20" s="67"/>
      <c r="AG20" s="71"/>
      <c r="AH20" s="68"/>
      <c r="AI20" s="72"/>
      <c r="AJ20" s="74"/>
      <c r="AK20" s="65"/>
      <c r="AL20" s="66"/>
      <c r="AM20" s="67">
        <v>1</v>
      </c>
      <c r="AN20" s="68"/>
      <c r="AO20" s="69"/>
      <c r="AP20" s="70"/>
      <c r="AQ20" s="67"/>
      <c r="AR20" s="71"/>
      <c r="AS20" s="68"/>
      <c r="AT20" s="72"/>
      <c r="AU20" s="74"/>
      <c r="AV20" s="65"/>
      <c r="AW20" s="66">
        <v>1</v>
      </c>
      <c r="AX20" s="67"/>
      <c r="AY20" s="68">
        <v>1</v>
      </c>
      <c r="AZ20" s="69"/>
      <c r="BA20" s="70"/>
      <c r="BB20" s="67"/>
      <c r="BC20" s="71"/>
      <c r="BD20" s="68"/>
      <c r="BE20" s="72"/>
      <c r="BF20" s="74"/>
      <c r="BG20" s="65"/>
      <c r="BH20" s="66">
        <v>1</v>
      </c>
      <c r="BI20" s="67"/>
      <c r="BJ20" s="68"/>
      <c r="BK20" s="69"/>
      <c r="BL20" s="70"/>
      <c r="BM20" s="67"/>
      <c r="BN20" s="71"/>
      <c r="BO20" s="68"/>
      <c r="BP20" s="72"/>
      <c r="BQ20" s="74"/>
      <c r="BR20" s="65"/>
      <c r="BS20" s="66"/>
      <c r="BT20" s="67">
        <v>1</v>
      </c>
      <c r="BU20" s="68"/>
      <c r="BV20" s="69">
        <v>1</v>
      </c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>
        <v>1</v>
      </c>
      <c r="F21" s="67"/>
      <c r="G21" s="68"/>
      <c r="H21" s="69"/>
      <c r="I21" s="70"/>
      <c r="J21" s="67"/>
      <c r="K21" s="71"/>
      <c r="L21" s="68"/>
      <c r="M21" s="72"/>
      <c r="N21" s="73"/>
      <c r="O21" s="65"/>
      <c r="P21" s="66"/>
      <c r="Q21" s="67"/>
      <c r="R21" s="68">
        <v>1</v>
      </c>
      <c r="S21" s="69"/>
      <c r="T21" s="70"/>
      <c r="U21" s="67"/>
      <c r="V21" s="71"/>
      <c r="W21" s="68"/>
      <c r="X21" s="72"/>
      <c r="Y21" s="73"/>
      <c r="Z21" s="65"/>
      <c r="AA21" s="66"/>
      <c r="AB21" s="67"/>
      <c r="AC21" s="68"/>
      <c r="AD21" s="69">
        <v>1</v>
      </c>
      <c r="AE21" s="70"/>
      <c r="AF21" s="67"/>
      <c r="AG21" s="71"/>
      <c r="AH21" s="68"/>
      <c r="AI21" s="72"/>
      <c r="AJ21" s="73"/>
      <c r="AK21" s="65"/>
      <c r="AL21" s="66"/>
      <c r="AM21" s="67">
        <v>0.5</v>
      </c>
      <c r="AN21" s="68">
        <v>1</v>
      </c>
      <c r="AO21" s="69">
        <v>1</v>
      </c>
      <c r="AP21" s="70"/>
      <c r="AQ21" s="67"/>
      <c r="AR21" s="71"/>
      <c r="AS21" s="68"/>
      <c r="AT21" s="72"/>
      <c r="AU21" s="73"/>
      <c r="AV21" s="65"/>
      <c r="AW21" s="66"/>
      <c r="AX21" s="67"/>
      <c r="AY21" s="68"/>
      <c r="AZ21" s="69"/>
      <c r="BA21" s="70"/>
      <c r="BB21" s="67"/>
      <c r="BC21" s="71"/>
      <c r="BD21" s="68"/>
      <c r="BE21" s="72"/>
      <c r="BF21" s="73"/>
      <c r="BG21" s="65"/>
      <c r="BH21" s="66">
        <v>0.5</v>
      </c>
      <c r="BI21" s="67"/>
      <c r="BJ21" s="68">
        <v>1</v>
      </c>
      <c r="BK21" s="69">
        <v>1</v>
      </c>
      <c r="BL21" s="70"/>
      <c r="BM21" s="67"/>
      <c r="BN21" s="71"/>
      <c r="BO21" s="68"/>
      <c r="BP21" s="72"/>
      <c r="BQ21" s="73"/>
      <c r="BR21" s="65"/>
      <c r="BS21" s="66"/>
      <c r="BT21" s="67">
        <v>1</v>
      </c>
      <c r="BU21" s="68">
        <v>1</v>
      </c>
      <c r="BV21" s="69"/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/>
      <c r="G22" s="68"/>
      <c r="H22" s="69">
        <v>1</v>
      </c>
      <c r="I22" s="70"/>
      <c r="J22" s="67"/>
      <c r="K22" s="71"/>
      <c r="L22" s="68"/>
      <c r="M22" s="72"/>
      <c r="N22" s="73"/>
      <c r="O22" s="65"/>
      <c r="P22" s="66"/>
      <c r="Q22" s="67"/>
      <c r="R22" s="68">
        <v>1</v>
      </c>
      <c r="S22" s="69"/>
      <c r="T22" s="70"/>
      <c r="U22" s="67"/>
      <c r="V22" s="71"/>
      <c r="W22" s="68"/>
      <c r="X22" s="72"/>
      <c r="Y22" s="73"/>
      <c r="Z22" s="65"/>
      <c r="AA22" s="66"/>
      <c r="AB22" s="67"/>
      <c r="AC22" s="68">
        <v>1</v>
      </c>
      <c r="AD22" s="69">
        <v>1</v>
      </c>
      <c r="AE22" s="70"/>
      <c r="AF22" s="67"/>
      <c r="AG22" s="71"/>
      <c r="AH22" s="68"/>
      <c r="AI22" s="72"/>
      <c r="AJ22" s="73"/>
      <c r="AK22" s="65"/>
      <c r="AL22" s="66"/>
      <c r="AM22" s="67"/>
      <c r="AN22" s="68"/>
      <c r="AO22" s="69">
        <v>1</v>
      </c>
      <c r="AP22" s="70"/>
      <c r="AQ22" s="67"/>
      <c r="AR22" s="71"/>
      <c r="AS22" s="68"/>
      <c r="AT22" s="72"/>
      <c r="AU22" s="73"/>
      <c r="AV22" s="65"/>
      <c r="AW22" s="66"/>
      <c r="AX22" s="67"/>
      <c r="AY22" s="68">
        <v>1</v>
      </c>
      <c r="AZ22" s="69">
        <v>1</v>
      </c>
      <c r="BA22" s="70"/>
      <c r="BB22" s="67"/>
      <c r="BC22" s="71"/>
      <c r="BD22" s="68"/>
      <c r="BE22" s="72"/>
      <c r="BF22" s="73"/>
      <c r="BG22" s="65"/>
      <c r="BH22" s="66"/>
      <c r="BI22" s="67"/>
      <c r="BJ22" s="68"/>
      <c r="BK22" s="69">
        <v>1</v>
      </c>
      <c r="BL22" s="70"/>
      <c r="BM22" s="67"/>
      <c r="BN22" s="71"/>
      <c r="BO22" s="68"/>
      <c r="BP22" s="72"/>
      <c r="BQ22" s="73"/>
      <c r="BR22" s="65"/>
      <c r="BS22" s="66">
        <v>1</v>
      </c>
      <c r="BT22" s="67">
        <v>1</v>
      </c>
      <c r="BU22" s="68">
        <v>1</v>
      </c>
      <c r="BV22" s="69">
        <v>1</v>
      </c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/>
      <c r="E23" s="66"/>
      <c r="F23" s="67"/>
      <c r="G23" s="68"/>
      <c r="H23" s="69">
        <v>1</v>
      </c>
      <c r="I23" s="70"/>
      <c r="J23" s="67"/>
      <c r="K23" s="71"/>
      <c r="L23" s="68"/>
      <c r="M23" s="72"/>
      <c r="N23" s="73"/>
      <c r="O23" s="65"/>
      <c r="P23" s="66"/>
      <c r="Q23" s="67"/>
      <c r="R23" s="68">
        <v>1</v>
      </c>
      <c r="S23" s="69"/>
      <c r="T23" s="70"/>
      <c r="U23" s="67"/>
      <c r="V23" s="71"/>
      <c r="W23" s="68"/>
      <c r="X23" s="72"/>
      <c r="Y23" s="73"/>
      <c r="Z23" s="65"/>
      <c r="AA23" s="66"/>
      <c r="AB23" s="67"/>
      <c r="AC23" s="68">
        <v>1</v>
      </c>
      <c r="AD23" s="69">
        <v>1</v>
      </c>
      <c r="AE23" s="70"/>
      <c r="AF23" s="67"/>
      <c r="AG23" s="71"/>
      <c r="AH23" s="68"/>
      <c r="AI23" s="72"/>
      <c r="AJ23" s="73"/>
      <c r="AK23" s="65"/>
      <c r="AL23" s="66"/>
      <c r="AM23" s="67"/>
      <c r="AN23" s="68">
        <v>1</v>
      </c>
      <c r="AO23" s="69">
        <v>1</v>
      </c>
      <c r="AP23" s="70"/>
      <c r="AQ23" s="67"/>
      <c r="AR23" s="71"/>
      <c r="AS23" s="68"/>
      <c r="AT23" s="72"/>
      <c r="AU23" s="73"/>
      <c r="AV23" s="65"/>
      <c r="AW23" s="66"/>
      <c r="AX23" s="67">
        <v>1</v>
      </c>
      <c r="AY23" s="68">
        <v>1</v>
      </c>
      <c r="AZ23" s="69"/>
      <c r="BA23" s="70"/>
      <c r="BB23" s="67"/>
      <c r="BC23" s="71"/>
      <c r="BD23" s="68"/>
      <c r="BE23" s="72"/>
      <c r="BF23" s="73"/>
      <c r="BG23" s="65"/>
      <c r="BH23" s="66"/>
      <c r="BI23" s="67"/>
      <c r="BJ23" s="68">
        <v>1</v>
      </c>
      <c r="BK23" s="69">
        <v>1</v>
      </c>
      <c r="BL23" s="70"/>
      <c r="BM23" s="67"/>
      <c r="BN23" s="71"/>
      <c r="BO23" s="68"/>
      <c r="BP23" s="72"/>
      <c r="BQ23" s="73"/>
      <c r="BR23" s="65"/>
      <c r="BS23" s="66"/>
      <c r="BT23" s="67"/>
      <c r="BU23" s="68">
        <v>1</v>
      </c>
      <c r="BV23" s="69">
        <v>1</v>
      </c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/>
      <c r="E24" s="66"/>
      <c r="F24" s="67"/>
      <c r="G24" s="68"/>
      <c r="H24" s="69">
        <v>1</v>
      </c>
      <c r="I24" s="70"/>
      <c r="J24" s="67"/>
      <c r="K24" s="71"/>
      <c r="L24" s="68"/>
      <c r="M24" s="72"/>
      <c r="N24" s="73"/>
      <c r="O24" s="65"/>
      <c r="P24" s="66"/>
      <c r="Q24" s="67">
        <v>1</v>
      </c>
      <c r="R24" s="68"/>
      <c r="S24" s="69"/>
      <c r="T24" s="70"/>
      <c r="U24" s="67"/>
      <c r="V24" s="71"/>
      <c r="W24" s="68"/>
      <c r="X24" s="72"/>
      <c r="Y24" s="73"/>
      <c r="Z24" s="65"/>
      <c r="AA24" s="66"/>
      <c r="AB24" s="67"/>
      <c r="AC24" s="68">
        <v>1</v>
      </c>
      <c r="AD24" s="69">
        <v>1</v>
      </c>
      <c r="AE24" s="70"/>
      <c r="AF24" s="67"/>
      <c r="AG24" s="71"/>
      <c r="AH24" s="68"/>
      <c r="AI24" s="72"/>
      <c r="AJ24" s="73"/>
      <c r="AK24" s="65"/>
      <c r="AL24" s="66"/>
      <c r="AM24" s="67"/>
      <c r="AN24" s="68">
        <v>1</v>
      </c>
      <c r="AO24" s="69">
        <v>1</v>
      </c>
      <c r="AP24" s="70"/>
      <c r="AQ24" s="67"/>
      <c r="AR24" s="71"/>
      <c r="AS24" s="68"/>
      <c r="AT24" s="72"/>
      <c r="AU24" s="73"/>
      <c r="AV24" s="65"/>
      <c r="AW24" s="66"/>
      <c r="AX24" s="67"/>
      <c r="AY24" s="68">
        <v>1</v>
      </c>
      <c r="AZ24" s="69">
        <v>1</v>
      </c>
      <c r="BA24" s="70"/>
      <c r="BB24" s="67"/>
      <c r="BC24" s="71"/>
      <c r="BD24" s="68"/>
      <c r="BE24" s="72"/>
      <c r="BF24" s="73"/>
      <c r="BG24" s="65"/>
      <c r="BH24" s="66"/>
      <c r="BI24" s="67"/>
      <c r="BJ24" s="68">
        <v>1</v>
      </c>
      <c r="BK24" s="69">
        <v>1</v>
      </c>
      <c r="BL24" s="70"/>
      <c r="BM24" s="67"/>
      <c r="BN24" s="71"/>
      <c r="BO24" s="68"/>
      <c r="BP24" s="72"/>
      <c r="BQ24" s="73"/>
      <c r="BR24" s="65"/>
      <c r="BS24" s="66">
        <v>1</v>
      </c>
      <c r="BT24" s="67"/>
      <c r="BU24" s="68">
        <v>1</v>
      </c>
      <c r="BV24" s="69">
        <v>1</v>
      </c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/>
      <c r="E25" s="66"/>
      <c r="F25" s="67"/>
      <c r="G25" s="68"/>
      <c r="H25" s="69">
        <v>1</v>
      </c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/>
      <c r="S25" s="69"/>
      <c r="T25" s="70"/>
      <c r="U25" s="67"/>
      <c r="V25" s="71"/>
      <c r="W25" s="68"/>
      <c r="X25" s="72"/>
      <c r="Y25" s="73"/>
      <c r="Z25" s="65"/>
      <c r="AA25" s="66"/>
      <c r="AB25" s="67">
        <v>1</v>
      </c>
      <c r="AC25" s="68">
        <v>1</v>
      </c>
      <c r="AD25" s="69">
        <v>1</v>
      </c>
      <c r="AE25" s="70"/>
      <c r="AF25" s="67"/>
      <c r="AG25" s="71"/>
      <c r="AH25" s="68"/>
      <c r="AI25" s="72"/>
      <c r="AJ25" s="73"/>
      <c r="AK25" s="65"/>
      <c r="AL25" s="66"/>
      <c r="AM25" s="67"/>
      <c r="AN25" s="68">
        <v>1</v>
      </c>
      <c r="AO25" s="69">
        <v>1</v>
      </c>
      <c r="AP25" s="70"/>
      <c r="AQ25" s="67"/>
      <c r="AR25" s="71"/>
      <c r="AS25" s="68"/>
      <c r="AT25" s="72"/>
      <c r="AU25" s="73"/>
      <c r="AV25" s="65"/>
      <c r="AW25" s="66"/>
      <c r="AX25" s="67">
        <v>1</v>
      </c>
      <c r="AY25" s="68">
        <v>1</v>
      </c>
      <c r="AZ25" s="69">
        <v>1</v>
      </c>
      <c r="BA25" s="70"/>
      <c r="BB25" s="67"/>
      <c r="BC25" s="71"/>
      <c r="BD25" s="68"/>
      <c r="BE25" s="72"/>
      <c r="BF25" s="73"/>
      <c r="BG25" s="65"/>
      <c r="BH25" s="66"/>
      <c r="BI25" s="67"/>
      <c r="BJ25" s="68">
        <v>1</v>
      </c>
      <c r="BK25" s="69">
        <v>1</v>
      </c>
      <c r="BL25" s="70"/>
      <c r="BM25" s="67"/>
      <c r="BN25" s="71"/>
      <c r="BO25" s="68"/>
      <c r="BP25" s="72"/>
      <c r="BQ25" s="73"/>
      <c r="BR25" s="65"/>
      <c r="BS25" s="66">
        <v>1</v>
      </c>
      <c r="BT25" s="67"/>
      <c r="BU25" s="68">
        <v>1</v>
      </c>
      <c r="BV25" s="69">
        <v>1</v>
      </c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/>
      <c r="E26" s="66"/>
      <c r="F26" s="67"/>
      <c r="G26" s="68"/>
      <c r="H26" s="69">
        <v>1</v>
      </c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/>
      <c r="S26" s="69"/>
      <c r="T26" s="70"/>
      <c r="U26" s="67"/>
      <c r="V26" s="71"/>
      <c r="W26" s="68"/>
      <c r="X26" s="72"/>
      <c r="Y26" s="73"/>
      <c r="Z26" s="65"/>
      <c r="AA26" s="66"/>
      <c r="AB26" s="67">
        <v>1</v>
      </c>
      <c r="AC26" s="68">
        <v>1</v>
      </c>
      <c r="AD26" s="69">
        <v>1</v>
      </c>
      <c r="AE26" s="70"/>
      <c r="AF26" s="67"/>
      <c r="AG26" s="71"/>
      <c r="AH26" s="68"/>
      <c r="AI26" s="72"/>
      <c r="AJ26" s="73"/>
      <c r="AK26" s="65"/>
      <c r="AL26" s="66"/>
      <c r="AM26" s="67"/>
      <c r="AN26" s="68">
        <v>1</v>
      </c>
      <c r="AO26" s="69"/>
      <c r="AP26" s="70"/>
      <c r="AQ26" s="67"/>
      <c r="AR26" s="71"/>
      <c r="AS26" s="68"/>
      <c r="AT26" s="72"/>
      <c r="AU26" s="73"/>
      <c r="AV26" s="65"/>
      <c r="AW26" s="66"/>
      <c r="AX26" s="67">
        <v>1</v>
      </c>
      <c r="AY26" s="68">
        <v>1</v>
      </c>
      <c r="AZ26" s="69">
        <v>1</v>
      </c>
      <c r="BA26" s="70"/>
      <c r="BB26" s="67"/>
      <c r="BC26" s="71"/>
      <c r="BD26" s="68"/>
      <c r="BE26" s="72"/>
      <c r="BF26" s="73"/>
      <c r="BG26" s="65"/>
      <c r="BH26" s="66"/>
      <c r="BI26" s="67"/>
      <c r="BJ26" s="68">
        <v>1</v>
      </c>
      <c r="BK26" s="69"/>
      <c r="BL26" s="70"/>
      <c r="BM26" s="67"/>
      <c r="BN26" s="71"/>
      <c r="BO26" s="68"/>
      <c r="BP26" s="72"/>
      <c r="BQ26" s="73"/>
      <c r="BR26" s="65"/>
      <c r="BS26" s="66">
        <v>1</v>
      </c>
      <c r="BT26" s="67"/>
      <c r="BU26" s="68">
        <v>1</v>
      </c>
      <c r="BV26" s="69">
        <v>1</v>
      </c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/>
      <c r="E27" s="66"/>
      <c r="F27" s="67"/>
      <c r="G27" s="68"/>
      <c r="H27" s="69">
        <v>1</v>
      </c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/>
      <c r="S27" s="69"/>
      <c r="T27" s="70"/>
      <c r="U27" s="67"/>
      <c r="V27" s="71"/>
      <c r="W27" s="68"/>
      <c r="X27" s="72"/>
      <c r="Y27" s="73"/>
      <c r="Z27" s="65"/>
      <c r="AA27" s="66"/>
      <c r="AB27" s="67">
        <v>1</v>
      </c>
      <c r="AC27" s="68">
        <v>1</v>
      </c>
      <c r="AD27" s="69">
        <v>1</v>
      </c>
      <c r="AE27" s="70"/>
      <c r="AF27" s="67"/>
      <c r="AG27" s="71"/>
      <c r="AH27" s="68"/>
      <c r="AI27" s="72"/>
      <c r="AJ27" s="73"/>
      <c r="AK27" s="65"/>
      <c r="AL27" s="66"/>
      <c r="AM27" s="67"/>
      <c r="AN27" s="68">
        <v>1</v>
      </c>
      <c r="AO27" s="69"/>
      <c r="AP27" s="70"/>
      <c r="AQ27" s="67"/>
      <c r="AR27" s="71"/>
      <c r="AS27" s="68"/>
      <c r="AT27" s="72"/>
      <c r="AU27" s="73"/>
      <c r="AV27" s="65"/>
      <c r="AW27" s="66"/>
      <c r="AX27" s="67">
        <v>1</v>
      </c>
      <c r="AY27" s="68">
        <v>1</v>
      </c>
      <c r="AZ27" s="69">
        <v>1</v>
      </c>
      <c r="BA27" s="70"/>
      <c r="BB27" s="67"/>
      <c r="BC27" s="71"/>
      <c r="BD27" s="68"/>
      <c r="BE27" s="72"/>
      <c r="BF27" s="73"/>
      <c r="BG27" s="65"/>
      <c r="BH27" s="66"/>
      <c r="BI27" s="67"/>
      <c r="BJ27" s="68">
        <v>1</v>
      </c>
      <c r="BK27" s="69"/>
      <c r="BL27" s="70"/>
      <c r="BM27" s="67"/>
      <c r="BN27" s="71"/>
      <c r="BO27" s="68"/>
      <c r="BP27" s="72"/>
      <c r="BQ27" s="73"/>
      <c r="BR27" s="65"/>
      <c r="BS27" s="66">
        <v>1</v>
      </c>
      <c r="BT27" s="67"/>
      <c r="BU27" s="68">
        <v>1</v>
      </c>
      <c r="BV27" s="69">
        <v>1</v>
      </c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/>
      <c r="E28" s="66"/>
      <c r="F28" s="67"/>
      <c r="G28" s="68"/>
      <c r="H28" s="69">
        <v>1</v>
      </c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/>
      <c r="S28" s="69"/>
      <c r="T28" s="70"/>
      <c r="U28" s="67"/>
      <c r="V28" s="71"/>
      <c r="W28" s="68"/>
      <c r="X28" s="72"/>
      <c r="Y28" s="73"/>
      <c r="Z28" s="65"/>
      <c r="AA28" s="66"/>
      <c r="AB28" s="67">
        <v>1</v>
      </c>
      <c r="AC28" s="68">
        <v>0.5</v>
      </c>
      <c r="AD28" s="69">
        <v>1</v>
      </c>
      <c r="AE28" s="70"/>
      <c r="AF28" s="67"/>
      <c r="AG28" s="71"/>
      <c r="AH28" s="68"/>
      <c r="AI28" s="72"/>
      <c r="AJ28" s="73"/>
      <c r="AK28" s="65"/>
      <c r="AL28" s="66"/>
      <c r="AM28" s="67"/>
      <c r="AN28" s="68">
        <v>1</v>
      </c>
      <c r="AO28" s="71"/>
      <c r="AP28" s="71"/>
      <c r="AQ28" s="71"/>
      <c r="AR28" s="71"/>
      <c r="AS28" s="68"/>
      <c r="AT28" s="72"/>
      <c r="AU28" s="73"/>
      <c r="AV28" s="65"/>
      <c r="AW28" s="66"/>
      <c r="AX28" s="67">
        <v>1</v>
      </c>
      <c r="AY28" s="68">
        <v>1</v>
      </c>
      <c r="AZ28" s="69">
        <v>1</v>
      </c>
      <c r="BA28" s="70"/>
      <c r="BB28" s="67"/>
      <c r="BC28" s="71"/>
      <c r="BD28" s="68"/>
      <c r="BE28" s="72"/>
      <c r="BF28" s="73"/>
      <c r="BG28" s="65"/>
      <c r="BH28" s="66"/>
      <c r="BI28" s="67"/>
      <c r="BJ28" s="68">
        <v>1</v>
      </c>
      <c r="BK28" s="69"/>
      <c r="BL28" s="70"/>
      <c r="BM28" s="67"/>
      <c r="BN28" s="71"/>
      <c r="BO28" s="68"/>
      <c r="BP28" s="72"/>
      <c r="BQ28" s="73"/>
      <c r="BR28" s="65"/>
      <c r="BS28" s="66">
        <v>1</v>
      </c>
      <c r="BT28" s="67"/>
      <c r="BU28" s="68">
        <v>1</v>
      </c>
      <c r="BV28" s="69">
        <v>1</v>
      </c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18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19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20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21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22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23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24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>
        <f t="shared" ref="D33:M33" si="0">+D6</f>
        <v>0</v>
      </c>
      <c r="E33" s="31" t="str">
        <f t="shared" si="0"/>
        <v>ANAHY</v>
      </c>
      <c r="F33" s="32" t="str">
        <f t="shared" si="0"/>
        <v>MICHAEL</v>
      </c>
      <c r="G33" s="33" t="str">
        <f t="shared" si="0"/>
        <v>LINDSAY</v>
      </c>
      <c r="H33" s="34" t="str">
        <f t="shared" si="0"/>
        <v>MILA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>
        <f t="shared" ref="O33:X33" si="1">+O6</f>
        <v>0</v>
      </c>
      <c r="P33" s="31" t="str">
        <f t="shared" si="1"/>
        <v>ANAHY</v>
      </c>
      <c r="Q33" s="32" t="str">
        <f t="shared" si="1"/>
        <v>MICHAEL</v>
      </c>
      <c r="R33" s="33" t="str">
        <f t="shared" si="1"/>
        <v>LINDSAY</v>
      </c>
      <c r="S33" s="34" t="str">
        <f t="shared" si="1"/>
        <v>MILA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>
        <f t="shared" ref="Z33:AI33" si="2">+Z6</f>
        <v>0</v>
      </c>
      <c r="AA33" s="31" t="str">
        <f t="shared" si="2"/>
        <v>ANAHY</v>
      </c>
      <c r="AB33" s="32" t="str">
        <f t="shared" si="2"/>
        <v>MICHAEL</v>
      </c>
      <c r="AC33" s="33" t="str">
        <f t="shared" si="2"/>
        <v>LINDSAY</v>
      </c>
      <c r="AD33" s="34" t="str">
        <f t="shared" si="2"/>
        <v>MILA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>
        <f t="shared" ref="AK33:AT33" si="3">+AK6</f>
        <v>0</v>
      </c>
      <c r="AL33" s="31" t="str">
        <f t="shared" si="3"/>
        <v>ANAHY</v>
      </c>
      <c r="AM33" s="32" t="str">
        <f t="shared" si="3"/>
        <v>MICHAEL</v>
      </c>
      <c r="AN33" s="33" t="str">
        <f t="shared" si="3"/>
        <v>LINDSAY</v>
      </c>
      <c r="AO33" s="34" t="str">
        <f t="shared" si="3"/>
        <v>MILA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>
        <f t="shared" ref="AV33:BE33" si="4">+AV6</f>
        <v>0</v>
      </c>
      <c r="AW33" s="31" t="str">
        <f t="shared" si="4"/>
        <v>ANAHY</v>
      </c>
      <c r="AX33" s="32" t="str">
        <f t="shared" si="4"/>
        <v>MICHAEL</v>
      </c>
      <c r="AY33" s="33" t="str">
        <f t="shared" si="4"/>
        <v>LINDSAY</v>
      </c>
      <c r="AZ33" s="34" t="str">
        <f t="shared" si="4"/>
        <v>MILA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>
        <f t="shared" ref="BG33:BP33" si="5">+BG6</f>
        <v>0</v>
      </c>
      <c r="BH33" s="31" t="str">
        <f t="shared" si="5"/>
        <v>ANAHY</v>
      </c>
      <c r="BI33" s="32" t="str">
        <f t="shared" si="5"/>
        <v>MICHAEL</v>
      </c>
      <c r="BJ33" s="33" t="str">
        <f t="shared" si="5"/>
        <v>LINDSAY</v>
      </c>
      <c r="BK33" s="34" t="str">
        <f t="shared" si="5"/>
        <v>MILA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>
        <f t="shared" ref="BR33:CA33" si="6">+BR6</f>
        <v>0</v>
      </c>
      <c r="BS33" s="31" t="str">
        <f t="shared" si="6"/>
        <v>ANAHY</v>
      </c>
      <c r="BT33" s="32" t="str">
        <f t="shared" si="6"/>
        <v>MICHAEL</v>
      </c>
      <c r="BU33" s="33" t="str">
        <f t="shared" si="6"/>
        <v>LINDSAY</v>
      </c>
      <c r="BV33" s="34" t="str">
        <f t="shared" si="6"/>
        <v>MILA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0</v>
      </c>
      <c r="E34" s="48">
        <f t="shared" ref="E34:M34" si="7">SUM(E7:E30)</f>
        <v>5</v>
      </c>
      <c r="F34" s="49">
        <f t="shared" si="7"/>
        <v>0</v>
      </c>
      <c r="G34" s="50">
        <f t="shared" si="7"/>
        <v>0</v>
      </c>
      <c r="H34" s="51">
        <f t="shared" si="7"/>
        <v>10</v>
      </c>
      <c r="I34" s="52">
        <f t="shared" si="7"/>
        <v>0.5</v>
      </c>
      <c r="J34" s="49">
        <f t="shared" si="7"/>
        <v>0.5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0</v>
      </c>
      <c r="P34" s="48">
        <f t="shared" si="8"/>
        <v>4</v>
      </c>
      <c r="Q34" s="49">
        <f t="shared" si="8"/>
        <v>5</v>
      </c>
      <c r="R34" s="50">
        <f t="shared" si="8"/>
        <v>6</v>
      </c>
      <c r="S34" s="51">
        <f t="shared" si="8"/>
        <v>0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0</v>
      </c>
      <c r="AA34" s="48">
        <f t="shared" si="9"/>
        <v>0</v>
      </c>
      <c r="AB34" s="49">
        <f t="shared" si="9"/>
        <v>4</v>
      </c>
      <c r="AC34" s="50">
        <f t="shared" si="9"/>
        <v>10.5</v>
      </c>
      <c r="AD34" s="51">
        <f t="shared" si="9"/>
        <v>9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0</v>
      </c>
      <c r="AL34" s="48">
        <f t="shared" si="10"/>
        <v>0</v>
      </c>
      <c r="AM34" s="49">
        <f t="shared" si="10"/>
        <v>4.5</v>
      </c>
      <c r="AN34" s="50">
        <f t="shared" si="10"/>
        <v>7</v>
      </c>
      <c r="AO34" s="51">
        <f t="shared" si="10"/>
        <v>7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0</v>
      </c>
      <c r="AW34" s="48">
        <f t="shared" si="11"/>
        <v>4</v>
      </c>
      <c r="AX34" s="49">
        <f t="shared" si="11"/>
        <v>5</v>
      </c>
      <c r="AY34" s="50">
        <f t="shared" si="11"/>
        <v>9</v>
      </c>
      <c r="AZ34" s="51">
        <f t="shared" si="11"/>
        <v>6</v>
      </c>
      <c r="BA34" s="52">
        <f t="shared" si="11"/>
        <v>0</v>
      </c>
      <c r="BB34" s="49">
        <f t="shared" si="11"/>
        <v>0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0</v>
      </c>
      <c r="BH34" s="48">
        <f t="shared" si="12"/>
        <v>4.5</v>
      </c>
      <c r="BI34" s="49">
        <f t="shared" si="12"/>
        <v>0</v>
      </c>
      <c r="BJ34" s="50">
        <f t="shared" si="12"/>
        <v>7</v>
      </c>
      <c r="BK34" s="51">
        <f t="shared" si="12"/>
        <v>8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0</v>
      </c>
      <c r="BS34" s="48">
        <f t="shared" si="13"/>
        <v>6</v>
      </c>
      <c r="BT34" s="49">
        <f t="shared" si="13"/>
        <v>5</v>
      </c>
      <c r="BU34" s="50">
        <f t="shared" si="13"/>
        <v>8.5</v>
      </c>
      <c r="BV34" s="51">
        <f t="shared" si="13"/>
        <v>8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/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0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36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23.5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37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23.5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48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39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48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0.5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0.5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  <mergeCell ref="B41:J41"/>
    <mergeCell ref="L41:N41"/>
    <mergeCell ref="B42:J42"/>
    <mergeCell ref="L42:N42"/>
    <mergeCell ref="B43:J43"/>
    <mergeCell ref="L43:N43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</mergeCells>
  <conditionalFormatting sqref="D7:M14 D29:M30">
    <cfRule type="expression" dxfId="216" priority="14">
      <formula>IF(OR(D7=0,D7=""),TRUE(),FALSE())</formula>
    </cfRule>
  </conditionalFormatting>
  <conditionalFormatting sqref="D15:M28">
    <cfRule type="expression" dxfId="215" priority="13">
      <formula>IF(OR(D15=0,D15=""),TRUE(),FALSE())</formula>
    </cfRule>
  </conditionalFormatting>
  <conditionalFormatting sqref="O7:X14 O29:X30">
    <cfRule type="expression" dxfId="214" priority="12">
      <formula>IF(OR(O7=0,O7=""),TRUE(),FALSE())</formula>
    </cfRule>
  </conditionalFormatting>
  <conditionalFormatting sqref="O15:X28">
    <cfRule type="expression" dxfId="213" priority="11">
      <formula>IF(OR(O15=0,O15=""),TRUE(),FALSE())</formula>
    </cfRule>
  </conditionalFormatting>
  <conditionalFormatting sqref="Z7:AI14 Z29:AI30">
    <cfRule type="expression" dxfId="212" priority="10">
      <formula>IF(OR(Z7=0,Z7=""),TRUE(),FALSE())</formula>
    </cfRule>
  </conditionalFormatting>
  <conditionalFormatting sqref="Z15:AI28">
    <cfRule type="expression" dxfId="211" priority="9">
      <formula>IF(OR(Z15=0,Z15=""),TRUE(),FALSE())</formula>
    </cfRule>
  </conditionalFormatting>
  <conditionalFormatting sqref="AK7:AT14 AK29:AT30">
    <cfRule type="expression" dxfId="210" priority="8">
      <formula>IF(OR(AK7=0,AK7=""),TRUE(),FALSE())</formula>
    </cfRule>
  </conditionalFormatting>
  <conditionalFormatting sqref="AK15:AT28">
    <cfRule type="expression" dxfId="209" priority="7">
      <formula>IF(OR(AK15=0,AK15=""),TRUE(),FALSE())</formula>
    </cfRule>
  </conditionalFormatting>
  <conditionalFormatting sqref="AV7:BE14 AV29:BE30">
    <cfRule type="expression" dxfId="208" priority="6">
      <formula>IF(OR(AV7=0,AV7=""),TRUE(),FALSE())</formula>
    </cfRule>
  </conditionalFormatting>
  <conditionalFormatting sqref="AV15:BE28">
    <cfRule type="expression" dxfId="207" priority="5">
      <formula>IF(OR(AV15=0,AV15=""),TRUE(),FALSE())</formula>
    </cfRule>
  </conditionalFormatting>
  <conditionalFormatting sqref="BG7:BP14 BG29:BP30">
    <cfRule type="expression" dxfId="206" priority="4">
      <formula>IF(OR(BG7=0,BG7=""),TRUE(),FALSE())</formula>
    </cfRule>
  </conditionalFormatting>
  <conditionalFormatting sqref="BG15:BP28">
    <cfRule type="expression" dxfId="205" priority="3">
      <formula>IF(OR(BG15=0,BG15=""),TRUE(),FALSE())</formula>
    </cfRule>
  </conditionalFormatting>
  <conditionalFormatting sqref="BR7:CA14 BR29:CA30">
    <cfRule type="expression" dxfId="204" priority="2">
      <formula>IF(OR(BR7=0,BR7=""),TRUE(),FALSE())</formula>
    </cfRule>
  </conditionalFormatting>
  <conditionalFormatting sqref="BR15:CA28">
    <cfRule type="expression" dxfId="203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83F28A97-C509-442E-BD2D-421F0C5D2C4F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E665B-8DFB-408E-8DD3-2DCBC9BFFED0}">
  <sheetPr codeName="Hoja14"/>
  <dimension ref="A1:CA48"/>
  <sheetViews>
    <sheetView showGridLines="0" zoomScale="80" zoomScaleNormal="80" workbookViewId="0">
      <selection activeCell="Y20" sqref="Y20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25 DE MARZO AL 31 DE MARZO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46106</v>
      </c>
      <c r="D5" s="63" t="str">
        <f>CONCATENATE("Lunes ",TEXT(DAY(C5),"00"))</f>
        <v>Lunes 25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26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27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28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29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30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31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/>
      <c r="E6" s="9" t="s">
        <v>33</v>
      </c>
      <c r="F6" s="10" t="s">
        <v>31</v>
      </c>
      <c r="G6" s="11" t="s">
        <v>21</v>
      </c>
      <c r="H6" s="12" t="s">
        <v>13</v>
      </c>
      <c r="I6" s="13"/>
      <c r="J6" s="10"/>
      <c r="K6" s="14"/>
      <c r="L6" s="11"/>
      <c r="M6" s="15"/>
      <c r="O6" s="8">
        <f>D6</f>
        <v>0</v>
      </c>
      <c r="P6" s="9" t="str">
        <f>E6</f>
        <v>ANAHY</v>
      </c>
      <c r="Q6" s="10" t="str">
        <f>F6</f>
        <v>MICHAEL</v>
      </c>
      <c r="R6" s="11" t="str">
        <f>G6</f>
        <v>LINDSAY</v>
      </c>
      <c r="S6" s="12" t="str">
        <f>H6</f>
        <v>MILA</v>
      </c>
      <c r="T6" s="13"/>
      <c r="U6" s="10"/>
      <c r="V6" s="14"/>
      <c r="W6" s="11"/>
      <c r="X6" s="15"/>
      <c r="Z6" s="8">
        <f>O6</f>
        <v>0</v>
      </c>
      <c r="AA6" s="9" t="s">
        <v>33</v>
      </c>
      <c r="AB6" s="10" t="str">
        <f>Q6</f>
        <v>MICHAEL</v>
      </c>
      <c r="AC6" s="11" t="str">
        <f>R6</f>
        <v>LINDSAY</v>
      </c>
      <c r="AD6" s="12" t="str">
        <f>H6</f>
        <v>MILA</v>
      </c>
      <c r="AE6" s="13"/>
      <c r="AF6" s="10"/>
      <c r="AG6" s="14"/>
      <c r="AH6" s="11"/>
      <c r="AI6" s="15"/>
      <c r="AK6" s="8">
        <f>Z6</f>
        <v>0</v>
      </c>
      <c r="AL6" s="9" t="str">
        <f>AA6</f>
        <v>ANAHY</v>
      </c>
      <c r="AM6" s="10" t="str">
        <f>Q6</f>
        <v>MICHAEL</v>
      </c>
      <c r="AN6" s="11" t="str">
        <f>AC6</f>
        <v>LINDSAY</v>
      </c>
      <c r="AO6" s="12" t="str">
        <f>H6</f>
        <v>MILA</v>
      </c>
      <c r="AP6" s="13"/>
      <c r="AQ6" s="10"/>
      <c r="AR6" s="14"/>
      <c r="AS6" s="11"/>
      <c r="AT6" s="15"/>
      <c r="AV6" s="8">
        <f>AK6</f>
        <v>0</v>
      </c>
      <c r="AW6" s="9" t="s">
        <v>33</v>
      </c>
      <c r="AX6" s="10" t="str">
        <f>AB6</f>
        <v>MICHAEL</v>
      </c>
      <c r="AY6" s="11" t="str">
        <f>AN6</f>
        <v>LINDSAY</v>
      </c>
      <c r="AZ6" s="12" t="str">
        <f>H6</f>
        <v>MILA</v>
      </c>
      <c r="BA6" s="13"/>
      <c r="BB6" s="10"/>
      <c r="BC6" s="14"/>
      <c r="BD6" s="11"/>
      <c r="BE6" s="15"/>
      <c r="BG6" s="8">
        <f>AV6</f>
        <v>0</v>
      </c>
      <c r="BH6" s="9" t="s">
        <v>33</v>
      </c>
      <c r="BI6" s="10" t="str">
        <f>AX6</f>
        <v>MICHAEL</v>
      </c>
      <c r="BJ6" s="11" t="str">
        <f>AC6</f>
        <v>LINDSAY</v>
      </c>
      <c r="BK6" s="12" t="str">
        <f>S6</f>
        <v>MILA</v>
      </c>
      <c r="BL6" s="13"/>
      <c r="BM6" s="10"/>
      <c r="BN6" s="14"/>
      <c r="BO6" s="11"/>
      <c r="BP6" s="15"/>
      <c r="BR6" s="8">
        <f>AV6</f>
        <v>0</v>
      </c>
      <c r="BS6" s="9" t="str">
        <f>BH6</f>
        <v>ANAHY</v>
      </c>
      <c r="BT6" s="10" t="str">
        <f>AX6</f>
        <v>MICHAEL</v>
      </c>
      <c r="BU6" s="11" t="str">
        <f>BJ6</f>
        <v>LINDSAY</v>
      </c>
      <c r="BV6" s="12" t="s">
        <v>13</v>
      </c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>
        <v>0.5</v>
      </c>
      <c r="F14" s="18">
        <v>0.5</v>
      </c>
      <c r="G14" s="19">
        <v>0.5</v>
      </c>
      <c r="H14" s="20">
        <v>0.5</v>
      </c>
      <c r="I14" s="21"/>
      <c r="J14" s="18"/>
      <c r="K14" s="22"/>
      <c r="L14" s="19"/>
      <c r="M14" s="23"/>
      <c r="N14" s="24"/>
      <c r="O14" s="16"/>
      <c r="P14" s="17"/>
      <c r="Q14" s="18"/>
      <c r="R14" s="19">
        <v>0.5</v>
      </c>
      <c r="S14" s="20">
        <v>0.5</v>
      </c>
      <c r="T14" s="21"/>
      <c r="U14" s="18"/>
      <c r="V14" s="22"/>
      <c r="W14" s="19"/>
      <c r="X14" s="23"/>
      <c r="Y14" s="24"/>
      <c r="Z14" s="16"/>
      <c r="AA14" s="17"/>
      <c r="AB14" s="18"/>
      <c r="AC14" s="19">
        <v>0.5</v>
      </c>
      <c r="AD14" s="20">
        <v>0.5</v>
      </c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/>
      <c r="BB14" s="18"/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>
        <v>1</v>
      </c>
      <c r="F15" s="67">
        <v>1</v>
      </c>
      <c r="G15" s="68">
        <v>1</v>
      </c>
      <c r="H15" s="69">
        <v>1</v>
      </c>
      <c r="I15" s="70"/>
      <c r="J15" s="67"/>
      <c r="K15" s="71"/>
      <c r="L15" s="68"/>
      <c r="M15" s="72"/>
      <c r="N15" s="73"/>
      <c r="O15" s="65"/>
      <c r="P15" s="66"/>
      <c r="Q15" s="67"/>
      <c r="R15" s="68">
        <v>0.5</v>
      </c>
      <c r="S15" s="69">
        <v>0.5</v>
      </c>
      <c r="T15" s="70"/>
      <c r="U15" s="67"/>
      <c r="V15" s="71"/>
      <c r="W15" s="68"/>
      <c r="X15" s="72"/>
      <c r="Y15" s="73"/>
      <c r="Z15" s="65"/>
      <c r="AA15" s="66"/>
      <c r="AB15" s="67"/>
      <c r="AC15" s="68">
        <v>1</v>
      </c>
      <c r="AD15" s="69">
        <v>1</v>
      </c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/>
      <c r="BI15" s="67"/>
      <c r="BJ15" s="68"/>
      <c r="BK15" s="69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>
        <v>1</v>
      </c>
      <c r="F16" s="67"/>
      <c r="G16" s="68"/>
      <c r="H16" s="69"/>
      <c r="I16" s="70">
        <v>0.5</v>
      </c>
      <c r="J16" s="67">
        <v>0.5</v>
      </c>
      <c r="K16" s="71"/>
      <c r="L16" s="68"/>
      <c r="M16" s="72"/>
      <c r="N16" s="73"/>
      <c r="O16" s="65"/>
      <c r="P16" s="66"/>
      <c r="Q16" s="67"/>
      <c r="R16" s="68"/>
      <c r="S16" s="69"/>
      <c r="T16" s="70"/>
      <c r="U16" s="67"/>
      <c r="V16" s="71"/>
      <c r="W16" s="68"/>
      <c r="X16" s="72"/>
      <c r="Y16" s="73"/>
      <c r="Z16" s="65"/>
      <c r="AA16" s="66"/>
      <c r="AB16" s="67"/>
      <c r="AC16" s="68"/>
      <c r="AD16" s="69"/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6"/>
      <c r="BI16" s="67"/>
      <c r="BJ16" s="68"/>
      <c r="BK16" s="69"/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>
        <v>1</v>
      </c>
      <c r="F17" s="67"/>
      <c r="G17" s="68"/>
      <c r="H17" s="69"/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>
        <v>1</v>
      </c>
      <c r="S17" s="69"/>
      <c r="T17" s="70"/>
      <c r="U17" s="67"/>
      <c r="V17" s="71"/>
      <c r="W17" s="68"/>
      <c r="X17" s="72"/>
      <c r="Y17" s="73"/>
      <c r="Z17" s="65"/>
      <c r="AA17" s="66"/>
      <c r="AB17" s="67"/>
      <c r="AC17" s="68">
        <v>1</v>
      </c>
      <c r="AD17" s="69"/>
      <c r="AE17" s="70"/>
      <c r="AF17" s="67"/>
      <c r="AG17" s="71"/>
      <c r="AH17" s="68"/>
      <c r="AI17" s="72"/>
      <c r="AJ17" s="73"/>
      <c r="AK17" s="65"/>
      <c r="AL17" s="66"/>
      <c r="AM17" s="67">
        <v>1</v>
      </c>
      <c r="AN17" s="68"/>
      <c r="AO17" s="69"/>
      <c r="AP17" s="70"/>
      <c r="AQ17" s="67"/>
      <c r="AR17" s="71"/>
      <c r="AS17" s="68"/>
      <c r="AT17" s="72"/>
      <c r="AU17" s="73"/>
      <c r="AV17" s="65"/>
      <c r="AW17" s="66"/>
      <c r="AX17" s="67">
        <v>1</v>
      </c>
      <c r="AY17" s="68"/>
      <c r="AZ17" s="69"/>
      <c r="BA17" s="70"/>
      <c r="BB17" s="67"/>
      <c r="BC17" s="71"/>
      <c r="BD17" s="68"/>
      <c r="BE17" s="72"/>
      <c r="BF17" s="73"/>
      <c r="BG17" s="65"/>
      <c r="BH17" s="66">
        <v>1</v>
      </c>
      <c r="BI17" s="67"/>
      <c r="BJ17" s="68"/>
      <c r="BK17" s="69"/>
      <c r="BL17" s="70"/>
      <c r="BM17" s="67"/>
      <c r="BN17" s="71"/>
      <c r="BO17" s="68"/>
      <c r="BP17" s="72"/>
      <c r="BQ17" s="73"/>
      <c r="BR17" s="65"/>
      <c r="BS17" s="66"/>
      <c r="BT17" s="67">
        <v>1</v>
      </c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>
        <v>1</v>
      </c>
      <c r="F18" s="67"/>
      <c r="G18" s="68"/>
      <c r="H18" s="69"/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>
        <v>1</v>
      </c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>
        <v>1</v>
      </c>
      <c r="AD18" s="69"/>
      <c r="AE18" s="70"/>
      <c r="AF18" s="67"/>
      <c r="AG18" s="71"/>
      <c r="AH18" s="68"/>
      <c r="AI18" s="72"/>
      <c r="AJ18" s="73"/>
      <c r="AK18" s="65"/>
      <c r="AL18" s="66"/>
      <c r="AM18" s="67">
        <v>1</v>
      </c>
      <c r="AN18" s="68"/>
      <c r="AO18" s="69">
        <v>1</v>
      </c>
      <c r="AP18" s="70"/>
      <c r="AQ18" s="67"/>
      <c r="AR18" s="71"/>
      <c r="AS18" s="68"/>
      <c r="AT18" s="72"/>
      <c r="AU18" s="73"/>
      <c r="AV18" s="65"/>
      <c r="AW18" s="66"/>
      <c r="AX18" s="67">
        <v>1</v>
      </c>
      <c r="AY18" s="68"/>
      <c r="AZ18" s="69"/>
      <c r="BA18" s="70"/>
      <c r="BB18" s="67"/>
      <c r="BC18" s="71"/>
      <c r="BD18" s="68"/>
      <c r="BE18" s="72"/>
      <c r="BF18" s="73"/>
      <c r="BG18" s="65"/>
      <c r="BH18" s="66">
        <v>1</v>
      </c>
      <c r="BI18" s="67"/>
      <c r="BJ18" s="68"/>
      <c r="BK18" s="69">
        <v>1</v>
      </c>
      <c r="BL18" s="70"/>
      <c r="BM18" s="67"/>
      <c r="BN18" s="71"/>
      <c r="BO18" s="68"/>
      <c r="BP18" s="72"/>
      <c r="BQ18" s="73"/>
      <c r="BR18" s="65"/>
      <c r="BS18" s="66"/>
      <c r="BT18" s="67">
        <v>1</v>
      </c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/>
      <c r="F19" s="67"/>
      <c r="G19" s="68"/>
      <c r="H19" s="69">
        <v>1</v>
      </c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>
        <v>1</v>
      </c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>
        <v>1</v>
      </c>
      <c r="AD19" s="69"/>
      <c r="AE19" s="70"/>
      <c r="AF19" s="67"/>
      <c r="AG19" s="71"/>
      <c r="AH19" s="68"/>
      <c r="AI19" s="72"/>
      <c r="AJ19" s="73"/>
      <c r="AK19" s="65"/>
      <c r="AL19" s="66"/>
      <c r="AM19" s="67">
        <v>1</v>
      </c>
      <c r="AN19" s="68"/>
      <c r="AO19" s="69">
        <v>1</v>
      </c>
      <c r="AP19" s="70"/>
      <c r="AQ19" s="67"/>
      <c r="AR19" s="71"/>
      <c r="AS19" s="68"/>
      <c r="AT19" s="72"/>
      <c r="AU19" s="73"/>
      <c r="AV19" s="65"/>
      <c r="AW19" s="66"/>
      <c r="AX19" s="67">
        <v>1</v>
      </c>
      <c r="AY19" s="68"/>
      <c r="AZ19" s="69"/>
      <c r="BA19" s="70"/>
      <c r="BB19" s="67"/>
      <c r="BC19" s="71"/>
      <c r="BD19" s="68"/>
      <c r="BE19" s="72"/>
      <c r="BF19" s="73"/>
      <c r="BG19" s="65"/>
      <c r="BH19" s="66">
        <v>1</v>
      </c>
      <c r="BI19" s="67"/>
      <c r="BJ19" s="68"/>
      <c r="BK19" s="69"/>
      <c r="BL19" s="70"/>
      <c r="BM19" s="67"/>
      <c r="BN19" s="71"/>
      <c r="BO19" s="68"/>
      <c r="BP19" s="72"/>
      <c r="BQ19" s="73"/>
      <c r="BR19" s="65"/>
      <c r="BS19" s="66"/>
      <c r="BT19" s="67">
        <v>1</v>
      </c>
      <c r="BU19" s="68"/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>
        <v>1</v>
      </c>
      <c r="F20" s="67"/>
      <c r="G20" s="68"/>
      <c r="H20" s="69"/>
      <c r="I20" s="70"/>
      <c r="J20" s="67"/>
      <c r="K20" s="71"/>
      <c r="L20" s="68"/>
      <c r="M20" s="72"/>
      <c r="N20" s="74"/>
      <c r="O20" s="65"/>
      <c r="P20" s="66">
        <v>1</v>
      </c>
      <c r="Q20" s="67"/>
      <c r="R20" s="68"/>
      <c r="S20" s="69"/>
      <c r="T20" s="70"/>
      <c r="U20" s="67"/>
      <c r="V20" s="71"/>
      <c r="W20" s="68"/>
      <c r="X20" s="72"/>
      <c r="Y20" s="74"/>
      <c r="Z20" s="65"/>
      <c r="AA20" s="66"/>
      <c r="AB20" s="67"/>
      <c r="AC20" s="68">
        <v>1</v>
      </c>
      <c r="AD20" s="69"/>
      <c r="AE20" s="70"/>
      <c r="AF20" s="67"/>
      <c r="AG20" s="71"/>
      <c r="AH20" s="68"/>
      <c r="AI20" s="72"/>
      <c r="AJ20" s="74"/>
      <c r="AK20" s="65"/>
      <c r="AL20" s="66"/>
      <c r="AM20" s="67">
        <v>1</v>
      </c>
      <c r="AN20" s="68"/>
      <c r="AO20" s="69"/>
      <c r="AP20" s="70"/>
      <c r="AQ20" s="67"/>
      <c r="AR20" s="71"/>
      <c r="AS20" s="68"/>
      <c r="AT20" s="72"/>
      <c r="AU20" s="74"/>
      <c r="AV20" s="65"/>
      <c r="AW20" s="66"/>
      <c r="AX20" s="67">
        <v>1</v>
      </c>
      <c r="AY20" s="68">
        <v>1</v>
      </c>
      <c r="AZ20" s="69"/>
      <c r="BA20" s="70"/>
      <c r="BB20" s="67"/>
      <c r="BC20" s="71"/>
      <c r="BD20" s="68"/>
      <c r="BE20" s="72"/>
      <c r="BF20" s="74"/>
      <c r="BG20" s="65"/>
      <c r="BH20" s="66">
        <v>1</v>
      </c>
      <c r="BI20" s="67"/>
      <c r="BJ20" s="68"/>
      <c r="BK20" s="69">
        <v>1</v>
      </c>
      <c r="BL20" s="70"/>
      <c r="BM20" s="67"/>
      <c r="BN20" s="71"/>
      <c r="BO20" s="68"/>
      <c r="BP20" s="72"/>
      <c r="BQ20" s="74"/>
      <c r="BR20" s="65"/>
      <c r="BS20" s="66"/>
      <c r="BT20" s="67">
        <v>1</v>
      </c>
      <c r="BU20" s="68">
        <v>1</v>
      </c>
      <c r="BV20" s="69">
        <v>1</v>
      </c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>
        <v>1</v>
      </c>
      <c r="F21" s="67"/>
      <c r="G21" s="68"/>
      <c r="H21" s="69">
        <v>1</v>
      </c>
      <c r="I21" s="70"/>
      <c r="J21" s="67"/>
      <c r="K21" s="71"/>
      <c r="L21" s="68"/>
      <c r="M21" s="72"/>
      <c r="N21" s="73"/>
      <c r="O21" s="65"/>
      <c r="P21" s="66"/>
      <c r="Q21" s="67"/>
      <c r="R21" s="68">
        <v>1</v>
      </c>
      <c r="S21" s="69"/>
      <c r="T21" s="70"/>
      <c r="U21" s="67"/>
      <c r="V21" s="71"/>
      <c r="W21" s="68"/>
      <c r="X21" s="72"/>
      <c r="Y21" s="73"/>
      <c r="Z21" s="65"/>
      <c r="AA21" s="66"/>
      <c r="AB21" s="67"/>
      <c r="AC21" s="68"/>
      <c r="AD21" s="69">
        <v>1</v>
      </c>
      <c r="AE21" s="70"/>
      <c r="AF21" s="67"/>
      <c r="AG21" s="71"/>
      <c r="AH21" s="68"/>
      <c r="AI21" s="72"/>
      <c r="AJ21" s="73"/>
      <c r="AK21" s="65"/>
      <c r="AL21" s="66"/>
      <c r="AM21" s="67"/>
      <c r="AN21" s="68"/>
      <c r="AO21" s="69">
        <v>1</v>
      </c>
      <c r="AP21" s="70"/>
      <c r="AQ21" s="67"/>
      <c r="AR21" s="71"/>
      <c r="AS21" s="68"/>
      <c r="AT21" s="72"/>
      <c r="AU21" s="73"/>
      <c r="AV21" s="65"/>
      <c r="AW21" s="66"/>
      <c r="AX21" s="67">
        <v>0.5</v>
      </c>
      <c r="AY21" s="68"/>
      <c r="AZ21" s="69"/>
      <c r="BA21" s="70"/>
      <c r="BB21" s="67"/>
      <c r="BC21" s="71"/>
      <c r="BD21" s="68"/>
      <c r="BE21" s="72"/>
      <c r="BF21" s="73"/>
      <c r="BG21" s="65"/>
      <c r="BH21" s="66"/>
      <c r="BI21" s="67"/>
      <c r="BJ21" s="68"/>
      <c r="BK21" s="69">
        <v>1</v>
      </c>
      <c r="BL21" s="70"/>
      <c r="BM21" s="67"/>
      <c r="BN21" s="71"/>
      <c r="BO21" s="68"/>
      <c r="BP21" s="72"/>
      <c r="BQ21" s="73"/>
      <c r="BR21" s="65"/>
      <c r="BS21" s="66"/>
      <c r="BT21" s="67">
        <v>0.5</v>
      </c>
      <c r="BU21" s="68"/>
      <c r="BV21" s="69">
        <v>1</v>
      </c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/>
      <c r="G22" s="68"/>
      <c r="H22" s="69">
        <v>1</v>
      </c>
      <c r="I22" s="70"/>
      <c r="J22" s="67"/>
      <c r="K22" s="71"/>
      <c r="L22" s="68"/>
      <c r="M22" s="72"/>
      <c r="N22" s="73"/>
      <c r="O22" s="65"/>
      <c r="P22" s="66"/>
      <c r="Q22" s="67"/>
      <c r="R22" s="68">
        <v>1</v>
      </c>
      <c r="S22" s="69"/>
      <c r="T22" s="70"/>
      <c r="U22" s="67"/>
      <c r="V22" s="71"/>
      <c r="W22" s="68"/>
      <c r="X22" s="72"/>
      <c r="Y22" s="73"/>
      <c r="Z22" s="65"/>
      <c r="AA22" s="66"/>
      <c r="AB22" s="67"/>
      <c r="AC22" s="68">
        <v>1</v>
      </c>
      <c r="AD22" s="69"/>
      <c r="AE22" s="70"/>
      <c r="AF22" s="67"/>
      <c r="AG22" s="71"/>
      <c r="AH22" s="68"/>
      <c r="AI22" s="72"/>
      <c r="AJ22" s="73"/>
      <c r="AK22" s="65"/>
      <c r="AL22" s="66"/>
      <c r="AM22" s="67"/>
      <c r="AN22" s="68">
        <v>1</v>
      </c>
      <c r="AO22" s="69">
        <v>1</v>
      </c>
      <c r="AP22" s="70"/>
      <c r="AQ22" s="67"/>
      <c r="AR22" s="71"/>
      <c r="AS22" s="68"/>
      <c r="AT22" s="72"/>
      <c r="AU22" s="73"/>
      <c r="AV22" s="65"/>
      <c r="AW22" s="66"/>
      <c r="AX22" s="67"/>
      <c r="AY22" s="68">
        <v>1</v>
      </c>
      <c r="AZ22" s="69">
        <v>1</v>
      </c>
      <c r="BA22" s="70"/>
      <c r="BB22" s="67"/>
      <c r="BC22" s="71"/>
      <c r="BD22" s="68"/>
      <c r="BE22" s="72"/>
      <c r="BF22" s="73"/>
      <c r="BG22" s="65"/>
      <c r="BH22" s="66"/>
      <c r="BI22" s="67"/>
      <c r="BJ22" s="68">
        <v>1</v>
      </c>
      <c r="BK22" s="69">
        <v>1</v>
      </c>
      <c r="BL22" s="70"/>
      <c r="BM22" s="67"/>
      <c r="BN22" s="71"/>
      <c r="BO22" s="68"/>
      <c r="BP22" s="72"/>
      <c r="BQ22" s="73"/>
      <c r="BR22" s="65"/>
      <c r="BS22" s="66"/>
      <c r="BT22" s="67"/>
      <c r="BU22" s="68">
        <v>1</v>
      </c>
      <c r="BV22" s="69"/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/>
      <c r="E23" s="66"/>
      <c r="F23" s="67"/>
      <c r="G23" s="68"/>
      <c r="H23" s="69">
        <v>1</v>
      </c>
      <c r="I23" s="70"/>
      <c r="J23" s="67"/>
      <c r="K23" s="71"/>
      <c r="L23" s="68"/>
      <c r="M23" s="72"/>
      <c r="N23" s="73"/>
      <c r="O23" s="65"/>
      <c r="P23" s="66"/>
      <c r="Q23" s="67"/>
      <c r="R23" s="68">
        <v>1</v>
      </c>
      <c r="S23" s="69"/>
      <c r="T23" s="70"/>
      <c r="U23" s="67"/>
      <c r="V23" s="71"/>
      <c r="W23" s="68"/>
      <c r="X23" s="72"/>
      <c r="Y23" s="73"/>
      <c r="Z23" s="65"/>
      <c r="AA23" s="66"/>
      <c r="AB23" s="67"/>
      <c r="AC23" s="68">
        <v>1</v>
      </c>
      <c r="AD23" s="69">
        <v>1</v>
      </c>
      <c r="AE23" s="70"/>
      <c r="AF23" s="67"/>
      <c r="AG23" s="71"/>
      <c r="AH23" s="68"/>
      <c r="AI23" s="72"/>
      <c r="AJ23" s="73"/>
      <c r="AK23" s="65"/>
      <c r="AL23" s="66"/>
      <c r="AM23" s="67"/>
      <c r="AN23" s="68"/>
      <c r="AO23" s="69">
        <v>1</v>
      </c>
      <c r="AP23" s="70"/>
      <c r="AQ23" s="67"/>
      <c r="AR23" s="71"/>
      <c r="AS23" s="68"/>
      <c r="AT23" s="72"/>
      <c r="AU23" s="73"/>
      <c r="AV23" s="65"/>
      <c r="AW23" s="66"/>
      <c r="AX23" s="67"/>
      <c r="AY23" s="68">
        <v>1</v>
      </c>
      <c r="AZ23" s="69"/>
      <c r="BA23" s="70"/>
      <c r="BB23" s="67"/>
      <c r="BC23" s="71"/>
      <c r="BD23" s="68"/>
      <c r="BE23" s="72"/>
      <c r="BF23" s="73"/>
      <c r="BG23" s="65"/>
      <c r="BH23" s="66"/>
      <c r="BI23" s="67"/>
      <c r="BJ23" s="68"/>
      <c r="BK23" s="69">
        <v>1</v>
      </c>
      <c r="BL23" s="70"/>
      <c r="BM23" s="67"/>
      <c r="BN23" s="71"/>
      <c r="BO23" s="68"/>
      <c r="BP23" s="72"/>
      <c r="BQ23" s="73"/>
      <c r="BR23" s="65"/>
      <c r="BS23" s="66"/>
      <c r="BT23" s="67"/>
      <c r="BU23" s="68">
        <v>1</v>
      </c>
      <c r="BV23" s="69">
        <v>1</v>
      </c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/>
      <c r="E24" s="66"/>
      <c r="F24" s="67"/>
      <c r="G24" s="68"/>
      <c r="H24" s="69">
        <v>1</v>
      </c>
      <c r="I24" s="70"/>
      <c r="J24" s="67"/>
      <c r="K24" s="71"/>
      <c r="L24" s="68"/>
      <c r="M24" s="72"/>
      <c r="N24" s="73"/>
      <c r="O24" s="65"/>
      <c r="P24" s="66"/>
      <c r="Q24" s="67">
        <v>1</v>
      </c>
      <c r="R24" s="68"/>
      <c r="S24" s="69"/>
      <c r="T24" s="70"/>
      <c r="U24" s="67"/>
      <c r="V24" s="71"/>
      <c r="W24" s="68"/>
      <c r="X24" s="72"/>
      <c r="Y24" s="73"/>
      <c r="Z24" s="65"/>
      <c r="AA24" s="66"/>
      <c r="AB24" s="67">
        <v>0.5</v>
      </c>
      <c r="AC24" s="68">
        <v>1</v>
      </c>
      <c r="AD24" s="69">
        <v>1</v>
      </c>
      <c r="AE24" s="70"/>
      <c r="AF24" s="67"/>
      <c r="AG24" s="71"/>
      <c r="AH24" s="68"/>
      <c r="AI24" s="72"/>
      <c r="AJ24" s="73"/>
      <c r="AK24" s="65"/>
      <c r="AL24" s="66"/>
      <c r="AM24" s="67"/>
      <c r="AN24" s="68">
        <v>1</v>
      </c>
      <c r="AO24" s="69">
        <v>1</v>
      </c>
      <c r="AP24" s="70"/>
      <c r="AQ24" s="67"/>
      <c r="AR24" s="71"/>
      <c r="AS24" s="68"/>
      <c r="AT24" s="72"/>
      <c r="AU24" s="73"/>
      <c r="AV24" s="65"/>
      <c r="AW24" s="66">
        <v>1</v>
      </c>
      <c r="AX24" s="67"/>
      <c r="AY24" s="68">
        <v>1</v>
      </c>
      <c r="AZ24" s="69">
        <v>1</v>
      </c>
      <c r="BA24" s="70"/>
      <c r="BB24" s="67"/>
      <c r="BC24" s="71"/>
      <c r="BD24" s="68"/>
      <c r="BE24" s="72"/>
      <c r="BF24" s="73"/>
      <c r="BG24" s="65"/>
      <c r="BH24" s="66"/>
      <c r="BI24" s="67"/>
      <c r="BJ24" s="68">
        <v>1</v>
      </c>
      <c r="BK24" s="69">
        <v>1</v>
      </c>
      <c r="BL24" s="70"/>
      <c r="BM24" s="67"/>
      <c r="BN24" s="71"/>
      <c r="BO24" s="68"/>
      <c r="BP24" s="72"/>
      <c r="BQ24" s="73"/>
      <c r="BR24" s="65"/>
      <c r="BS24" s="66"/>
      <c r="BT24" s="67"/>
      <c r="BU24" s="68">
        <v>1</v>
      </c>
      <c r="BV24" s="69">
        <v>1</v>
      </c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/>
      <c r="E25" s="66"/>
      <c r="F25" s="67"/>
      <c r="G25" s="68"/>
      <c r="H25" s="69">
        <v>1</v>
      </c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/>
      <c r="S25" s="69"/>
      <c r="T25" s="70"/>
      <c r="U25" s="67"/>
      <c r="V25" s="71"/>
      <c r="W25" s="68"/>
      <c r="X25" s="72"/>
      <c r="Y25" s="73"/>
      <c r="Z25" s="65"/>
      <c r="AA25" s="66"/>
      <c r="AB25" s="67">
        <v>1</v>
      </c>
      <c r="AC25" s="68">
        <v>1</v>
      </c>
      <c r="AD25" s="69">
        <v>1</v>
      </c>
      <c r="AE25" s="70"/>
      <c r="AF25" s="67"/>
      <c r="AG25" s="71"/>
      <c r="AH25" s="68"/>
      <c r="AI25" s="72"/>
      <c r="AJ25" s="73"/>
      <c r="AK25" s="65"/>
      <c r="AL25" s="66"/>
      <c r="AM25" s="67"/>
      <c r="AN25" s="68">
        <v>1</v>
      </c>
      <c r="AO25" s="69">
        <v>1</v>
      </c>
      <c r="AP25" s="70"/>
      <c r="AQ25" s="67"/>
      <c r="AR25" s="71"/>
      <c r="AS25" s="68"/>
      <c r="AT25" s="72"/>
      <c r="AU25" s="73"/>
      <c r="AV25" s="65"/>
      <c r="AW25" s="66">
        <v>1</v>
      </c>
      <c r="AX25" s="67"/>
      <c r="AY25" s="68">
        <v>1</v>
      </c>
      <c r="AZ25" s="69">
        <v>1</v>
      </c>
      <c r="BA25" s="70"/>
      <c r="BB25" s="67"/>
      <c r="BC25" s="71"/>
      <c r="BD25" s="68"/>
      <c r="BE25" s="72"/>
      <c r="BF25" s="73"/>
      <c r="BG25" s="65"/>
      <c r="BH25" s="66"/>
      <c r="BI25" s="67"/>
      <c r="BJ25" s="68">
        <v>1</v>
      </c>
      <c r="BK25" s="69">
        <v>1</v>
      </c>
      <c r="BL25" s="70"/>
      <c r="BM25" s="67"/>
      <c r="BN25" s="71"/>
      <c r="BO25" s="68"/>
      <c r="BP25" s="72"/>
      <c r="BQ25" s="73"/>
      <c r="BR25" s="65"/>
      <c r="BS25" s="66">
        <v>1</v>
      </c>
      <c r="BT25" s="67"/>
      <c r="BU25" s="68">
        <v>1</v>
      </c>
      <c r="BV25" s="69">
        <v>1</v>
      </c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/>
      <c r="E26" s="66"/>
      <c r="F26" s="67"/>
      <c r="G26" s="68"/>
      <c r="H26" s="69">
        <v>1</v>
      </c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/>
      <c r="S26" s="69"/>
      <c r="T26" s="70"/>
      <c r="U26" s="67"/>
      <c r="V26" s="71"/>
      <c r="W26" s="68"/>
      <c r="X26" s="72"/>
      <c r="Y26" s="73"/>
      <c r="Z26" s="65"/>
      <c r="AA26" s="66"/>
      <c r="AB26" s="67">
        <v>1</v>
      </c>
      <c r="AC26" s="68">
        <v>1</v>
      </c>
      <c r="AD26" s="69">
        <v>1</v>
      </c>
      <c r="AE26" s="70"/>
      <c r="AF26" s="67"/>
      <c r="AG26" s="71"/>
      <c r="AH26" s="68"/>
      <c r="AI26" s="72"/>
      <c r="AJ26" s="73"/>
      <c r="AK26" s="65"/>
      <c r="AL26" s="66"/>
      <c r="AM26" s="67"/>
      <c r="AN26" s="68">
        <v>1</v>
      </c>
      <c r="AO26" s="69">
        <v>1</v>
      </c>
      <c r="AP26" s="70"/>
      <c r="AQ26" s="67"/>
      <c r="AR26" s="71"/>
      <c r="AS26" s="68"/>
      <c r="AT26" s="72"/>
      <c r="AU26" s="73"/>
      <c r="AV26" s="65"/>
      <c r="AW26" s="66">
        <v>1</v>
      </c>
      <c r="AX26" s="67"/>
      <c r="AY26" s="68">
        <v>1</v>
      </c>
      <c r="AZ26" s="69">
        <v>1</v>
      </c>
      <c r="BA26" s="70"/>
      <c r="BB26" s="67"/>
      <c r="BC26" s="71"/>
      <c r="BD26" s="68"/>
      <c r="BE26" s="72"/>
      <c r="BF26" s="73"/>
      <c r="BG26" s="65"/>
      <c r="BH26" s="66"/>
      <c r="BI26" s="67"/>
      <c r="BJ26" s="68">
        <v>1</v>
      </c>
      <c r="BK26" s="69">
        <v>1</v>
      </c>
      <c r="BL26" s="70"/>
      <c r="BM26" s="67"/>
      <c r="BN26" s="71"/>
      <c r="BO26" s="68"/>
      <c r="BP26" s="72"/>
      <c r="BQ26" s="73"/>
      <c r="BR26" s="65"/>
      <c r="BS26" s="66">
        <v>1</v>
      </c>
      <c r="BT26" s="67"/>
      <c r="BU26" s="68">
        <v>1</v>
      </c>
      <c r="BV26" s="69">
        <v>1</v>
      </c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/>
      <c r="E27" s="66"/>
      <c r="F27" s="67"/>
      <c r="G27" s="68"/>
      <c r="H27" s="69">
        <v>1</v>
      </c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/>
      <c r="S27" s="69"/>
      <c r="T27" s="70"/>
      <c r="U27" s="67"/>
      <c r="V27" s="71"/>
      <c r="W27" s="68"/>
      <c r="X27" s="72"/>
      <c r="Y27" s="73"/>
      <c r="Z27" s="65"/>
      <c r="AA27" s="66"/>
      <c r="AB27" s="67">
        <v>1</v>
      </c>
      <c r="AC27" s="68">
        <v>1</v>
      </c>
      <c r="AD27" s="69">
        <v>1</v>
      </c>
      <c r="AE27" s="70"/>
      <c r="AF27" s="67"/>
      <c r="AG27" s="71"/>
      <c r="AH27" s="68"/>
      <c r="AI27" s="72"/>
      <c r="AJ27" s="73"/>
      <c r="AK27" s="65"/>
      <c r="AL27" s="66"/>
      <c r="AM27" s="67"/>
      <c r="AN27" s="68">
        <v>1</v>
      </c>
      <c r="AO27" s="69">
        <v>1</v>
      </c>
      <c r="AP27" s="70"/>
      <c r="AQ27" s="67"/>
      <c r="AR27" s="71"/>
      <c r="AS27" s="68"/>
      <c r="AT27" s="72"/>
      <c r="AU27" s="73"/>
      <c r="AV27" s="65"/>
      <c r="AW27" s="66">
        <v>1</v>
      </c>
      <c r="AX27" s="67"/>
      <c r="AY27" s="68">
        <v>1</v>
      </c>
      <c r="AZ27" s="69">
        <v>1</v>
      </c>
      <c r="BA27" s="70"/>
      <c r="BB27" s="67"/>
      <c r="BC27" s="71"/>
      <c r="BD27" s="68"/>
      <c r="BE27" s="72"/>
      <c r="BF27" s="73"/>
      <c r="BG27" s="65"/>
      <c r="BH27" s="66"/>
      <c r="BI27" s="67"/>
      <c r="BJ27" s="68">
        <v>1</v>
      </c>
      <c r="BK27" s="69">
        <v>1</v>
      </c>
      <c r="BL27" s="70"/>
      <c r="BM27" s="67"/>
      <c r="BN27" s="71"/>
      <c r="BO27" s="68"/>
      <c r="BP27" s="72"/>
      <c r="BQ27" s="73"/>
      <c r="BR27" s="65"/>
      <c r="BS27" s="66">
        <v>1</v>
      </c>
      <c r="BT27" s="67"/>
      <c r="BU27" s="68">
        <v>1</v>
      </c>
      <c r="BV27" s="69">
        <v>1</v>
      </c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/>
      <c r="E28" s="66"/>
      <c r="F28" s="67"/>
      <c r="G28" s="68"/>
      <c r="H28" s="69">
        <v>1</v>
      </c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/>
      <c r="S28" s="69"/>
      <c r="T28" s="70"/>
      <c r="U28" s="67"/>
      <c r="V28" s="71"/>
      <c r="W28" s="68"/>
      <c r="X28" s="72"/>
      <c r="Y28" s="73"/>
      <c r="Z28" s="65"/>
      <c r="AA28" s="66"/>
      <c r="AB28" s="67">
        <v>1</v>
      </c>
      <c r="AC28" s="68"/>
      <c r="AD28" s="69">
        <v>1</v>
      </c>
      <c r="AE28" s="70"/>
      <c r="AF28" s="67"/>
      <c r="AG28" s="71"/>
      <c r="AH28" s="68"/>
      <c r="AI28" s="72"/>
      <c r="AJ28" s="73"/>
      <c r="AK28" s="65"/>
      <c r="AL28" s="66"/>
      <c r="AM28" s="67"/>
      <c r="AN28" s="68">
        <v>1</v>
      </c>
      <c r="AO28" s="71">
        <v>1</v>
      </c>
      <c r="AP28" s="71"/>
      <c r="AQ28" s="71"/>
      <c r="AR28" s="71"/>
      <c r="AS28" s="68"/>
      <c r="AT28" s="72"/>
      <c r="AU28" s="73"/>
      <c r="AV28" s="65"/>
      <c r="AW28" s="66">
        <v>1</v>
      </c>
      <c r="AX28" s="67"/>
      <c r="AY28" s="68">
        <v>1</v>
      </c>
      <c r="AZ28" s="69">
        <v>1</v>
      </c>
      <c r="BA28" s="70"/>
      <c r="BB28" s="67"/>
      <c r="BC28" s="71"/>
      <c r="BD28" s="68"/>
      <c r="BE28" s="72"/>
      <c r="BF28" s="73"/>
      <c r="BG28" s="65"/>
      <c r="BH28" s="66"/>
      <c r="BI28" s="67"/>
      <c r="BJ28" s="68">
        <v>1</v>
      </c>
      <c r="BK28" s="69">
        <v>1</v>
      </c>
      <c r="BL28" s="70"/>
      <c r="BM28" s="67"/>
      <c r="BN28" s="71"/>
      <c r="BO28" s="68"/>
      <c r="BP28" s="72"/>
      <c r="BQ28" s="73"/>
      <c r="BR28" s="65"/>
      <c r="BS28" s="66">
        <v>1</v>
      </c>
      <c r="BT28" s="67"/>
      <c r="BU28" s="68">
        <v>1</v>
      </c>
      <c r="BV28" s="69">
        <v>1</v>
      </c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25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26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27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28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29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30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31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>
        <f t="shared" ref="D33:M33" si="0">+D6</f>
        <v>0</v>
      </c>
      <c r="E33" s="31" t="str">
        <f t="shared" si="0"/>
        <v>ANAHY</v>
      </c>
      <c r="F33" s="32" t="str">
        <f t="shared" si="0"/>
        <v>MICHAEL</v>
      </c>
      <c r="G33" s="33" t="str">
        <f t="shared" si="0"/>
        <v>LINDSAY</v>
      </c>
      <c r="H33" s="34" t="str">
        <f t="shared" si="0"/>
        <v>MILA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>
        <f t="shared" ref="O33:X33" si="1">+O6</f>
        <v>0</v>
      </c>
      <c r="P33" s="31" t="str">
        <f t="shared" si="1"/>
        <v>ANAHY</v>
      </c>
      <c r="Q33" s="32" t="str">
        <f t="shared" si="1"/>
        <v>MICHAEL</v>
      </c>
      <c r="R33" s="33" t="str">
        <f t="shared" si="1"/>
        <v>LINDSAY</v>
      </c>
      <c r="S33" s="34" t="str">
        <f t="shared" si="1"/>
        <v>MILA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>
        <f t="shared" ref="Z33:AI33" si="2">+Z6</f>
        <v>0</v>
      </c>
      <c r="AA33" s="31" t="str">
        <f t="shared" si="2"/>
        <v>ANAHY</v>
      </c>
      <c r="AB33" s="32" t="str">
        <f t="shared" si="2"/>
        <v>MICHAEL</v>
      </c>
      <c r="AC33" s="33" t="str">
        <f t="shared" si="2"/>
        <v>LINDSAY</v>
      </c>
      <c r="AD33" s="34" t="str">
        <f t="shared" si="2"/>
        <v>MILA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>
        <f t="shared" ref="AK33:AT33" si="3">+AK6</f>
        <v>0</v>
      </c>
      <c r="AL33" s="31" t="str">
        <f t="shared" si="3"/>
        <v>ANAHY</v>
      </c>
      <c r="AM33" s="32" t="str">
        <f t="shared" si="3"/>
        <v>MICHAEL</v>
      </c>
      <c r="AN33" s="33" t="str">
        <f t="shared" si="3"/>
        <v>LINDSAY</v>
      </c>
      <c r="AO33" s="34" t="str">
        <f t="shared" si="3"/>
        <v>MILA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>
        <f t="shared" ref="AV33:BE33" si="4">+AV6</f>
        <v>0</v>
      </c>
      <c r="AW33" s="31" t="str">
        <f t="shared" si="4"/>
        <v>ANAHY</v>
      </c>
      <c r="AX33" s="32" t="str">
        <f t="shared" si="4"/>
        <v>MICHAEL</v>
      </c>
      <c r="AY33" s="33" t="str">
        <f t="shared" si="4"/>
        <v>LINDSAY</v>
      </c>
      <c r="AZ33" s="34" t="str">
        <f t="shared" si="4"/>
        <v>MILA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>
        <f t="shared" ref="BG33:BP33" si="5">+BG6</f>
        <v>0</v>
      </c>
      <c r="BH33" s="31" t="str">
        <f t="shared" si="5"/>
        <v>ANAHY</v>
      </c>
      <c r="BI33" s="32" t="str">
        <f t="shared" si="5"/>
        <v>MICHAEL</v>
      </c>
      <c r="BJ33" s="33" t="str">
        <f t="shared" si="5"/>
        <v>LINDSAY</v>
      </c>
      <c r="BK33" s="34" t="str">
        <f t="shared" si="5"/>
        <v>MILA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>
        <f t="shared" ref="BR33:CA33" si="6">+BR6</f>
        <v>0</v>
      </c>
      <c r="BS33" s="31" t="str">
        <f t="shared" si="6"/>
        <v>ANAHY</v>
      </c>
      <c r="BT33" s="32" t="str">
        <f t="shared" si="6"/>
        <v>MICHAEL</v>
      </c>
      <c r="BU33" s="33" t="str">
        <f t="shared" si="6"/>
        <v>LINDSAY</v>
      </c>
      <c r="BV33" s="34" t="str">
        <f t="shared" si="6"/>
        <v>MILA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0</v>
      </c>
      <c r="E34" s="48">
        <f t="shared" ref="E34:M34" si="7">SUM(E7:E30)</f>
        <v>6.5</v>
      </c>
      <c r="F34" s="49">
        <f t="shared" si="7"/>
        <v>1.5</v>
      </c>
      <c r="G34" s="50">
        <f t="shared" si="7"/>
        <v>1.5</v>
      </c>
      <c r="H34" s="51">
        <f t="shared" si="7"/>
        <v>10.5</v>
      </c>
      <c r="I34" s="52">
        <f t="shared" si="7"/>
        <v>0.5</v>
      </c>
      <c r="J34" s="49">
        <f t="shared" si="7"/>
        <v>0.5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0</v>
      </c>
      <c r="P34" s="48">
        <f t="shared" si="8"/>
        <v>4</v>
      </c>
      <c r="Q34" s="49">
        <f t="shared" si="8"/>
        <v>5</v>
      </c>
      <c r="R34" s="50">
        <f t="shared" si="8"/>
        <v>7</v>
      </c>
      <c r="S34" s="51">
        <f t="shared" si="8"/>
        <v>1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0</v>
      </c>
      <c r="AA34" s="48">
        <f t="shared" si="9"/>
        <v>0</v>
      </c>
      <c r="AB34" s="49">
        <f t="shared" si="9"/>
        <v>4.5</v>
      </c>
      <c r="AC34" s="50">
        <f t="shared" si="9"/>
        <v>11.5</v>
      </c>
      <c r="AD34" s="51">
        <f t="shared" si="9"/>
        <v>8.5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0</v>
      </c>
      <c r="AL34" s="48">
        <f t="shared" si="10"/>
        <v>0</v>
      </c>
      <c r="AM34" s="49">
        <f t="shared" si="10"/>
        <v>4</v>
      </c>
      <c r="AN34" s="50">
        <f t="shared" si="10"/>
        <v>6</v>
      </c>
      <c r="AO34" s="51">
        <f t="shared" si="10"/>
        <v>10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0</v>
      </c>
      <c r="AW34" s="48">
        <f t="shared" si="11"/>
        <v>5</v>
      </c>
      <c r="AX34" s="49">
        <f t="shared" si="11"/>
        <v>4.5</v>
      </c>
      <c r="AY34" s="50">
        <f t="shared" si="11"/>
        <v>8</v>
      </c>
      <c r="AZ34" s="51">
        <f t="shared" si="11"/>
        <v>6</v>
      </c>
      <c r="BA34" s="52">
        <f t="shared" si="11"/>
        <v>0</v>
      </c>
      <c r="BB34" s="49">
        <f t="shared" si="11"/>
        <v>0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0</v>
      </c>
      <c r="BH34" s="48">
        <f t="shared" si="12"/>
        <v>4</v>
      </c>
      <c r="BI34" s="49">
        <f t="shared" si="12"/>
        <v>0</v>
      </c>
      <c r="BJ34" s="50">
        <f t="shared" si="12"/>
        <v>6</v>
      </c>
      <c r="BK34" s="51">
        <f t="shared" si="12"/>
        <v>10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0</v>
      </c>
      <c r="BS34" s="48">
        <f t="shared" si="13"/>
        <v>4</v>
      </c>
      <c r="BT34" s="49">
        <f t="shared" si="13"/>
        <v>4.5</v>
      </c>
      <c r="BU34" s="50">
        <f t="shared" si="13"/>
        <v>8</v>
      </c>
      <c r="BV34" s="51">
        <f t="shared" si="13"/>
        <v>8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/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0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36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23.5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37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24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48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39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54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0.5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0.5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  <mergeCell ref="B41:J41"/>
    <mergeCell ref="L41:N41"/>
    <mergeCell ref="B42:J42"/>
    <mergeCell ref="L42:N42"/>
    <mergeCell ref="B43:J43"/>
    <mergeCell ref="L43:N43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</mergeCells>
  <conditionalFormatting sqref="D7:M14 D29:M30">
    <cfRule type="expression" dxfId="202" priority="14">
      <formula>IF(OR(D7=0,D7=""),TRUE(),FALSE())</formula>
    </cfRule>
  </conditionalFormatting>
  <conditionalFormatting sqref="D15:M28">
    <cfRule type="expression" dxfId="201" priority="13">
      <formula>IF(OR(D15=0,D15=""),TRUE(),FALSE())</formula>
    </cfRule>
  </conditionalFormatting>
  <conditionalFormatting sqref="O7:X14 O29:X30">
    <cfRule type="expression" dxfId="200" priority="12">
      <formula>IF(OR(O7=0,O7=""),TRUE(),FALSE())</formula>
    </cfRule>
  </conditionalFormatting>
  <conditionalFormatting sqref="O15:X28">
    <cfRule type="expression" dxfId="199" priority="11">
      <formula>IF(OR(O15=0,O15=""),TRUE(),FALSE())</formula>
    </cfRule>
  </conditionalFormatting>
  <conditionalFormatting sqref="Z7:AI14 Z29:AI30">
    <cfRule type="expression" dxfId="198" priority="10">
      <formula>IF(OR(Z7=0,Z7=""),TRUE(),FALSE())</formula>
    </cfRule>
  </conditionalFormatting>
  <conditionalFormatting sqref="Z15:AI28">
    <cfRule type="expression" dxfId="197" priority="9">
      <formula>IF(OR(Z15=0,Z15=""),TRUE(),FALSE())</formula>
    </cfRule>
  </conditionalFormatting>
  <conditionalFormatting sqref="AK7:AT14 AK29:AT30">
    <cfRule type="expression" dxfId="196" priority="8">
      <formula>IF(OR(AK7=0,AK7=""),TRUE(),FALSE())</formula>
    </cfRule>
  </conditionalFormatting>
  <conditionalFormatting sqref="AK15:AT28">
    <cfRule type="expression" dxfId="195" priority="7">
      <formula>IF(OR(AK15=0,AK15=""),TRUE(),FALSE())</formula>
    </cfRule>
  </conditionalFormatting>
  <conditionalFormatting sqref="AV7:BE14 AV29:BE30">
    <cfRule type="expression" dxfId="194" priority="6">
      <formula>IF(OR(AV7=0,AV7=""),TRUE(),FALSE())</formula>
    </cfRule>
  </conditionalFormatting>
  <conditionalFormatting sqref="AV15:BE28">
    <cfRule type="expression" dxfId="193" priority="5">
      <formula>IF(OR(AV15=0,AV15=""),TRUE(),FALSE())</formula>
    </cfRule>
  </conditionalFormatting>
  <conditionalFormatting sqref="BG7:BP14 BG29:BP30">
    <cfRule type="expression" dxfId="192" priority="4">
      <formula>IF(OR(BG7=0,BG7=""),TRUE(),FALSE())</formula>
    </cfRule>
  </conditionalFormatting>
  <conditionalFormatting sqref="BG15:BP28">
    <cfRule type="expression" dxfId="191" priority="3">
      <formula>IF(OR(BG15=0,BG15=""),TRUE(),FALSE())</formula>
    </cfRule>
  </conditionalFormatting>
  <conditionalFormatting sqref="BR7:CA14 BR29:CA30">
    <cfRule type="expression" dxfId="190" priority="2">
      <formula>IF(OR(BR7=0,BR7=""),TRUE(),FALSE())</formula>
    </cfRule>
  </conditionalFormatting>
  <conditionalFormatting sqref="BR15:CA28">
    <cfRule type="expression" dxfId="189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AD33E54E-63E6-4A29-A658-1836EE9D385D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6ACCD-9AEB-4DE4-84C0-82CC6752391A}">
  <sheetPr codeName="Hoja15"/>
  <dimension ref="A1:CA48"/>
  <sheetViews>
    <sheetView showGridLines="0" topLeftCell="C4" zoomScale="84" zoomScaleNormal="84" workbookViewId="0">
      <selection activeCell="BU20" sqref="BU20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01 DE MARZO AL 07 DE MARZO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46082</v>
      </c>
      <c r="D5" s="63" t="str">
        <f>CONCATENATE("Lunes ",TEXT(DAY(C5),"00"))</f>
        <v>Lunes 01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02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03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04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05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06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07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41</v>
      </c>
      <c r="E6" s="9" t="s">
        <v>33</v>
      </c>
      <c r="F6" s="10" t="s">
        <v>31</v>
      </c>
      <c r="G6" s="11" t="s">
        <v>21</v>
      </c>
      <c r="H6" s="12" t="s">
        <v>13</v>
      </c>
      <c r="I6" s="13"/>
      <c r="J6" s="10"/>
      <c r="K6" s="14"/>
      <c r="L6" s="11"/>
      <c r="M6" s="15"/>
      <c r="O6" s="8" t="str">
        <f>D6</f>
        <v>SOFIA</v>
      </c>
      <c r="P6" s="9" t="str">
        <f>E6</f>
        <v>ANAHY</v>
      </c>
      <c r="Q6" s="10" t="str">
        <f>F6</f>
        <v>MICHAEL</v>
      </c>
      <c r="R6" s="11" t="str">
        <f>G6</f>
        <v>LINDSAY</v>
      </c>
      <c r="S6" s="12" t="str">
        <f>H6</f>
        <v>MILA</v>
      </c>
      <c r="T6" s="13"/>
      <c r="U6" s="10"/>
      <c r="V6" s="14"/>
      <c r="W6" s="11"/>
      <c r="X6" s="15"/>
      <c r="Z6" s="8" t="str">
        <f>O6</f>
        <v>SOFIA</v>
      </c>
      <c r="AA6" s="9" t="s">
        <v>33</v>
      </c>
      <c r="AB6" s="10" t="str">
        <f>Q6</f>
        <v>MICHAEL</v>
      </c>
      <c r="AC6" s="11" t="str">
        <f>R6</f>
        <v>LINDSAY</v>
      </c>
      <c r="AD6" s="12" t="str">
        <f>H6</f>
        <v>MILA</v>
      </c>
      <c r="AE6" s="13"/>
      <c r="AF6" s="10"/>
      <c r="AG6" s="14"/>
      <c r="AH6" s="11"/>
      <c r="AI6" s="15"/>
      <c r="AK6" s="8" t="str">
        <f>Z6</f>
        <v>SOFIA</v>
      </c>
      <c r="AL6" s="9" t="str">
        <f>AA6</f>
        <v>ANAHY</v>
      </c>
      <c r="AM6" s="10" t="str">
        <f>Q6</f>
        <v>MICHAEL</v>
      </c>
      <c r="AN6" s="11" t="str">
        <f>AC6</f>
        <v>LINDSAY</v>
      </c>
      <c r="AO6" s="12" t="str">
        <f>H6</f>
        <v>MILA</v>
      </c>
      <c r="AP6" s="13"/>
      <c r="AQ6" s="10"/>
      <c r="AR6" s="14"/>
      <c r="AS6" s="11"/>
      <c r="AT6" s="15"/>
      <c r="AV6" s="8" t="str">
        <f>AK6</f>
        <v>SOFIA</v>
      </c>
      <c r="AW6" s="9" t="s">
        <v>33</v>
      </c>
      <c r="AX6" s="10" t="str">
        <f>AB6</f>
        <v>MICHAEL</v>
      </c>
      <c r="AY6" s="11" t="str">
        <f>AN6</f>
        <v>LINDSAY</v>
      </c>
      <c r="AZ6" s="12" t="str">
        <f>H6</f>
        <v>MILA</v>
      </c>
      <c r="BA6" s="13"/>
      <c r="BB6" s="10"/>
      <c r="BC6" s="14"/>
      <c r="BD6" s="11"/>
      <c r="BE6" s="15"/>
      <c r="BG6" s="8" t="str">
        <f>AV6</f>
        <v>SOFIA</v>
      </c>
      <c r="BH6" s="9" t="s">
        <v>33</v>
      </c>
      <c r="BI6" s="10" t="str">
        <f>AX6</f>
        <v>MICHAEL</v>
      </c>
      <c r="BJ6" s="11" t="str">
        <f>AC6</f>
        <v>LINDSAY</v>
      </c>
      <c r="BK6" s="12" t="str">
        <f>S6</f>
        <v>MILA</v>
      </c>
      <c r="BL6" s="13"/>
      <c r="BM6" s="10"/>
      <c r="BN6" s="14"/>
      <c r="BO6" s="11"/>
      <c r="BP6" s="15"/>
      <c r="BR6" s="8" t="str">
        <f>AV6</f>
        <v>SOFIA</v>
      </c>
      <c r="BS6" s="9" t="str">
        <f>BH6</f>
        <v>ANAHY</v>
      </c>
      <c r="BT6" s="10" t="str">
        <f>AX6</f>
        <v>MICHAEL</v>
      </c>
      <c r="BU6" s="11" t="str">
        <f>BJ6</f>
        <v>LINDSAY</v>
      </c>
      <c r="BV6" s="12" t="s">
        <v>13</v>
      </c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>
        <v>0.5</v>
      </c>
      <c r="BB14" s="18">
        <v>0.5</v>
      </c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/>
      <c r="H15" s="69"/>
      <c r="I15" s="70"/>
      <c r="J15" s="67"/>
      <c r="K15" s="71"/>
      <c r="L15" s="68"/>
      <c r="M15" s="72"/>
      <c r="N15" s="73"/>
      <c r="O15" s="65"/>
      <c r="P15" s="66"/>
      <c r="Q15" s="67"/>
      <c r="R15" s="68">
        <v>1</v>
      </c>
      <c r="S15" s="69">
        <v>1</v>
      </c>
      <c r="T15" s="70"/>
      <c r="U15" s="67"/>
      <c r="V15" s="71"/>
      <c r="W15" s="68"/>
      <c r="X15" s="72"/>
      <c r="Y15" s="73"/>
      <c r="Z15" s="65"/>
      <c r="AA15" s="66"/>
      <c r="AB15" s="67"/>
      <c r="AC15" s="68"/>
      <c r="AD15" s="69"/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>
        <v>1</v>
      </c>
      <c r="AX15" s="67">
        <v>1</v>
      </c>
      <c r="AY15" s="68">
        <v>1</v>
      </c>
      <c r="AZ15" s="69">
        <v>1</v>
      </c>
      <c r="BA15" s="70"/>
      <c r="BB15" s="67"/>
      <c r="BC15" s="71"/>
      <c r="BD15" s="68"/>
      <c r="BE15" s="72"/>
      <c r="BF15" s="73"/>
      <c r="BG15" s="65"/>
      <c r="BH15" s="66">
        <v>1</v>
      </c>
      <c r="BI15" s="67">
        <v>1</v>
      </c>
      <c r="BJ15" s="68">
        <v>1</v>
      </c>
      <c r="BK15" s="69">
        <v>1</v>
      </c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/>
      <c r="F16" s="67"/>
      <c r="G16" s="68"/>
      <c r="H16" s="69"/>
      <c r="I16" s="70">
        <v>0.5</v>
      </c>
      <c r="J16" s="67">
        <v>0.5</v>
      </c>
      <c r="K16" s="71"/>
      <c r="L16" s="68"/>
      <c r="M16" s="72"/>
      <c r="N16" s="73"/>
      <c r="O16" s="65"/>
      <c r="P16" s="66"/>
      <c r="Q16" s="67"/>
      <c r="R16" s="68">
        <v>0.5</v>
      </c>
      <c r="S16" s="69">
        <v>0.5</v>
      </c>
      <c r="T16" s="70"/>
      <c r="U16" s="67"/>
      <c r="V16" s="71"/>
      <c r="W16" s="68"/>
      <c r="X16" s="72"/>
      <c r="Y16" s="73"/>
      <c r="Z16" s="65"/>
      <c r="AA16" s="66"/>
      <c r="AB16" s="67"/>
      <c r="AC16" s="68"/>
      <c r="AD16" s="69"/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>
        <v>0.5</v>
      </c>
      <c r="AX16" s="67">
        <v>0.5</v>
      </c>
      <c r="AY16" s="68">
        <v>0.5</v>
      </c>
      <c r="AZ16" s="69">
        <v>0.5</v>
      </c>
      <c r="BA16" s="70"/>
      <c r="BB16" s="67"/>
      <c r="BC16" s="71"/>
      <c r="BD16" s="68"/>
      <c r="BE16" s="72"/>
      <c r="BF16" s="73"/>
      <c r="BG16" s="65"/>
      <c r="BH16" s="66">
        <v>0.5</v>
      </c>
      <c r="BI16" s="67">
        <v>0.5</v>
      </c>
      <c r="BJ16" s="68">
        <v>0.5</v>
      </c>
      <c r="BK16" s="69">
        <v>0.5</v>
      </c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>
        <v>1</v>
      </c>
      <c r="F17" s="67"/>
      <c r="G17" s="68"/>
      <c r="H17" s="69"/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/>
      <c r="S17" s="69"/>
      <c r="T17" s="70"/>
      <c r="U17" s="67"/>
      <c r="V17" s="71"/>
      <c r="W17" s="68"/>
      <c r="X17" s="72"/>
      <c r="Y17" s="73"/>
      <c r="Z17" s="65"/>
      <c r="AA17" s="66"/>
      <c r="AB17" s="67"/>
      <c r="AC17" s="68">
        <v>1</v>
      </c>
      <c r="AD17" s="69"/>
      <c r="AE17" s="70"/>
      <c r="AF17" s="67"/>
      <c r="AG17" s="71"/>
      <c r="AH17" s="68"/>
      <c r="AI17" s="72"/>
      <c r="AJ17" s="73"/>
      <c r="AK17" s="65"/>
      <c r="AL17" s="66"/>
      <c r="AM17" s="67">
        <v>1</v>
      </c>
      <c r="AN17" s="68"/>
      <c r="AO17" s="69"/>
      <c r="AP17" s="70"/>
      <c r="AQ17" s="67"/>
      <c r="AR17" s="71"/>
      <c r="AS17" s="68"/>
      <c r="AT17" s="72"/>
      <c r="AU17" s="73"/>
      <c r="AV17" s="65"/>
      <c r="AW17" s="66">
        <v>1</v>
      </c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>
        <v>1</v>
      </c>
      <c r="BI17" s="67"/>
      <c r="BJ17" s="68"/>
      <c r="BK17" s="69"/>
      <c r="BL17" s="70"/>
      <c r="BM17" s="67"/>
      <c r="BN17" s="71"/>
      <c r="BO17" s="68"/>
      <c r="BP17" s="72"/>
      <c r="BQ17" s="73"/>
      <c r="BR17" s="65">
        <v>1</v>
      </c>
      <c r="BS17" s="66"/>
      <c r="BT17" s="67">
        <v>1</v>
      </c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>
        <v>1</v>
      </c>
      <c r="F18" s="67"/>
      <c r="G18" s="68"/>
      <c r="H18" s="69">
        <v>1</v>
      </c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/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>
        <v>1</v>
      </c>
      <c r="AD18" s="69"/>
      <c r="AE18" s="70"/>
      <c r="AF18" s="67"/>
      <c r="AG18" s="71"/>
      <c r="AH18" s="68"/>
      <c r="AI18" s="72"/>
      <c r="AJ18" s="73"/>
      <c r="AK18" s="65"/>
      <c r="AL18" s="66"/>
      <c r="AM18" s="67">
        <v>1</v>
      </c>
      <c r="AN18" s="68"/>
      <c r="AO18" s="69"/>
      <c r="AP18" s="70"/>
      <c r="AQ18" s="67"/>
      <c r="AR18" s="71"/>
      <c r="AS18" s="68"/>
      <c r="AT18" s="72"/>
      <c r="AU18" s="73"/>
      <c r="AV18" s="65"/>
      <c r="AW18" s="66">
        <v>1</v>
      </c>
      <c r="AX18" s="67"/>
      <c r="AY18" s="68"/>
      <c r="AZ18" s="69"/>
      <c r="BA18" s="70"/>
      <c r="BB18" s="67"/>
      <c r="BC18" s="71"/>
      <c r="BD18" s="68"/>
      <c r="BE18" s="72"/>
      <c r="BF18" s="73"/>
      <c r="BG18" s="65"/>
      <c r="BH18" s="66">
        <v>1</v>
      </c>
      <c r="BI18" s="67"/>
      <c r="BJ18" s="68"/>
      <c r="BK18" s="69">
        <v>1</v>
      </c>
      <c r="BL18" s="70"/>
      <c r="BM18" s="67"/>
      <c r="BN18" s="71"/>
      <c r="BO18" s="68"/>
      <c r="BP18" s="72"/>
      <c r="BQ18" s="73"/>
      <c r="BR18" s="65">
        <v>1</v>
      </c>
      <c r="BS18" s="66"/>
      <c r="BT18" s="67">
        <v>1</v>
      </c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>
        <v>1</v>
      </c>
      <c r="F19" s="67"/>
      <c r="G19" s="68"/>
      <c r="H19" s="69">
        <v>1</v>
      </c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/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>
        <v>1</v>
      </c>
      <c r="AD19" s="69"/>
      <c r="AE19" s="70"/>
      <c r="AF19" s="67"/>
      <c r="AG19" s="71"/>
      <c r="AH19" s="68"/>
      <c r="AI19" s="72"/>
      <c r="AJ19" s="73"/>
      <c r="AK19" s="65"/>
      <c r="AL19" s="66"/>
      <c r="AM19" s="67">
        <v>1</v>
      </c>
      <c r="AN19" s="68"/>
      <c r="AO19" s="69"/>
      <c r="AP19" s="70"/>
      <c r="AQ19" s="67"/>
      <c r="AR19" s="71"/>
      <c r="AS19" s="68"/>
      <c r="AT19" s="72"/>
      <c r="AU19" s="73"/>
      <c r="AV19" s="65"/>
      <c r="AW19" s="66">
        <v>1</v>
      </c>
      <c r="AX19" s="67"/>
      <c r="AY19" s="68">
        <v>1</v>
      </c>
      <c r="AZ19" s="69"/>
      <c r="BA19" s="70"/>
      <c r="BB19" s="67"/>
      <c r="BC19" s="71"/>
      <c r="BD19" s="68"/>
      <c r="BE19" s="72"/>
      <c r="BF19" s="73"/>
      <c r="BG19" s="65"/>
      <c r="BH19" s="66">
        <v>1</v>
      </c>
      <c r="BI19" s="67"/>
      <c r="BJ19" s="68"/>
      <c r="BK19" s="69"/>
      <c r="BL19" s="70"/>
      <c r="BM19" s="67"/>
      <c r="BN19" s="71"/>
      <c r="BO19" s="68"/>
      <c r="BP19" s="72"/>
      <c r="BQ19" s="73"/>
      <c r="BR19" s="65">
        <v>1</v>
      </c>
      <c r="BS19" s="66"/>
      <c r="BT19" s="67">
        <v>1</v>
      </c>
      <c r="BU19" s="68"/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>
        <v>1</v>
      </c>
      <c r="F20" s="67"/>
      <c r="G20" s="68"/>
      <c r="H20" s="69"/>
      <c r="I20" s="70"/>
      <c r="J20" s="67"/>
      <c r="K20" s="71"/>
      <c r="L20" s="68"/>
      <c r="M20" s="72"/>
      <c r="N20" s="74"/>
      <c r="O20" s="65"/>
      <c r="P20" s="66">
        <v>1</v>
      </c>
      <c r="Q20" s="67"/>
      <c r="R20" s="68">
        <v>1</v>
      </c>
      <c r="S20" s="69"/>
      <c r="T20" s="70"/>
      <c r="U20" s="67"/>
      <c r="V20" s="71"/>
      <c r="W20" s="68"/>
      <c r="X20" s="72"/>
      <c r="Y20" s="74"/>
      <c r="Z20" s="65"/>
      <c r="AA20" s="66"/>
      <c r="AB20" s="67"/>
      <c r="AC20" s="68">
        <v>1</v>
      </c>
      <c r="AD20" s="69"/>
      <c r="AE20" s="70"/>
      <c r="AF20" s="67"/>
      <c r="AG20" s="71"/>
      <c r="AH20" s="68"/>
      <c r="AI20" s="72"/>
      <c r="AJ20" s="74"/>
      <c r="AK20" s="65"/>
      <c r="AL20" s="66"/>
      <c r="AM20" s="67">
        <v>1</v>
      </c>
      <c r="AN20" s="68"/>
      <c r="AO20" s="69">
        <v>1</v>
      </c>
      <c r="AP20" s="70"/>
      <c r="AQ20" s="67"/>
      <c r="AR20" s="71"/>
      <c r="AS20" s="68"/>
      <c r="AT20" s="72"/>
      <c r="AU20" s="74"/>
      <c r="AV20" s="65"/>
      <c r="AW20" s="66">
        <v>1</v>
      </c>
      <c r="AX20" s="67"/>
      <c r="AY20" s="68">
        <v>1</v>
      </c>
      <c r="AZ20" s="69"/>
      <c r="BA20" s="70"/>
      <c r="BB20" s="67"/>
      <c r="BC20" s="71"/>
      <c r="BD20" s="68"/>
      <c r="BE20" s="72"/>
      <c r="BF20" s="74"/>
      <c r="BG20" s="65"/>
      <c r="BH20" s="66">
        <v>1</v>
      </c>
      <c r="BI20" s="67"/>
      <c r="BJ20" s="68"/>
      <c r="BK20" s="69">
        <v>1</v>
      </c>
      <c r="BL20" s="70"/>
      <c r="BM20" s="67"/>
      <c r="BN20" s="71"/>
      <c r="BO20" s="68"/>
      <c r="BP20" s="72"/>
      <c r="BQ20" s="74"/>
      <c r="BR20" s="65">
        <v>1</v>
      </c>
      <c r="BS20" s="66"/>
      <c r="BT20" s="67">
        <v>1</v>
      </c>
      <c r="BU20" s="68">
        <v>0.5</v>
      </c>
      <c r="BV20" s="69"/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/>
      <c r="F21" s="67"/>
      <c r="G21" s="68"/>
      <c r="H21" s="69">
        <v>1</v>
      </c>
      <c r="I21" s="70"/>
      <c r="J21" s="67"/>
      <c r="K21" s="71"/>
      <c r="L21" s="68"/>
      <c r="M21" s="72"/>
      <c r="N21" s="73"/>
      <c r="O21" s="65"/>
      <c r="P21" s="66"/>
      <c r="Q21" s="67"/>
      <c r="R21" s="68"/>
      <c r="S21" s="69"/>
      <c r="T21" s="70"/>
      <c r="U21" s="67"/>
      <c r="V21" s="71"/>
      <c r="W21" s="68"/>
      <c r="X21" s="72"/>
      <c r="Y21" s="73"/>
      <c r="Z21" s="65"/>
      <c r="AA21" s="66"/>
      <c r="AB21" s="67"/>
      <c r="AC21" s="68"/>
      <c r="AD21" s="69">
        <v>1</v>
      </c>
      <c r="AE21" s="70"/>
      <c r="AF21" s="67"/>
      <c r="AG21" s="71"/>
      <c r="AH21" s="68"/>
      <c r="AI21" s="72"/>
      <c r="AJ21" s="73"/>
      <c r="AK21" s="65"/>
      <c r="AL21" s="66"/>
      <c r="AM21" s="67"/>
      <c r="AN21" s="68">
        <v>1</v>
      </c>
      <c r="AO21" s="69"/>
      <c r="AP21" s="70"/>
      <c r="AQ21" s="67"/>
      <c r="AR21" s="71"/>
      <c r="AS21" s="68"/>
      <c r="AT21" s="72"/>
      <c r="AU21" s="73"/>
      <c r="AV21" s="65"/>
      <c r="AW21" s="66"/>
      <c r="AX21" s="67"/>
      <c r="AY21" s="68">
        <v>1</v>
      </c>
      <c r="AZ21" s="69"/>
      <c r="BA21" s="70"/>
      <c r="BB21" s="67"/>
      <c r="BC21" s="71"/>
      <c r="BD21" s="68"/>
      <c r="BE21" s="72"/>
      <c r="BF21" s="73"/>
      <c r="BG21" s="65"/>
      <c r="BH21" s="66"/>
      <c r="BI21" s="67"/>
      <c r="BJ21" s="68"/>
      <c r="BK21" s="69">
        <v>1</v>
      </c>
      <c r="BL21" s="70"/>
      <c r="BM21" s="67"/>
      <c r="BN21" s="71"/>
      <c r="BO21" s="68"/>
      <c r="BP21" s="72"/>
      <c r="BQ21" s="73"/>
      <c r="BR21" s="65"/>
      <c r="BS21" s="66"/>
      <c r="BT21" s="67"/>
      <c r="BU21" s="68"/>
      <c r="BV21" s="69">
        <v>0.5</v>
      </c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/>
      <c r="G22" s="68"/>
      <c r="H22" s="69">
        <v>1</v>
      </c>
      <c r="I22" s="70"/>
      <c r="J22" s="67"/>
      <c r="K22" s="71"/>
      <c r="L22" s="68"/>
      <c r="M22" s="72"/>
      <c r="N22" s="73"/>
      <c r="O22" s="65"/>
      <c r="P22" s="66"/>
      <c r="Q22" s="67"/>
      <c r="R22" s="68">
        <v>1</v>
      </c>
      <c r="S22" s="69"/>
      <c r="T22" s="70"/>
      <c r="U22" s="67"/>
      <c r="V22" s="71"/>
      <c r="W22" s="68"/>
      <c r="X22" s="72"/>
      <c r="Y22" s="73"/>
      <c r="Z22" s="65"/>
      <c r="AA22" s="66"/>
      <c r="AB22" s="67"/>
      <c r="AC22" s="68">
        <v>1</v>
      </c>
      <c r="AD22" s="69"/>
      <c r="AE22" s="70"/>
      <c r="AF22" s="67"/>
      <c r="AG22" s="71"/>
      <c r="AH22" s="68"/>
      <c r="AI22" s="72"/>
      <c r="AJ22" s="73"/>
      <c r="AK22" s="65"/>
      <c r="AL22" s="66"/>
      <c r="AM22" s="67"/>
      <c r="AN22" s="68"/>
      <c r="AO22" s="69">
        <v>1</v>
      </c>
      <c r="AP22" s="70"/>
      <c r="AQ22" s="67"/>
      <c r="AR22" s="71"/>
      <c r="AS22" s="68"/>
      <c r="AT22" s="72"/>
      <c r="AU22" s="73"/>
      <c r="AV22" s="65"/>
      <c r="AW22" s="66"/>
      <c r="AX22" s="67"/>
      <c r="AY22" s="68"/>
      <c r="AZ22" s="69">
        <v>1</v>
      </c>
      <c r="BA22" s="70"/>
      <c r="BB22" s="67"/>
      <c r="BC22" s="71"/>
      <c r="BD22" s="68"/>
      <c r="BE22" s="72"/>
      <c r="BF22" s="73"/>
      <c r="BG22" s="65"/>
      <c r="BH22" s="66"/>
      <c r="BI22" s="67"/>
      <c r="BJ22" s="68">
        <v>1</v>
      </c>
      <c r="BK22" s="69">
        <v>1</v>
      </c>
      <c r="BL22" s="70"/>
      <c r="BM22" s="67"/>
      <c r="BN22" s="71"/>
      <c r="BO22" s="68"/>
      <c r="BP22" s="72"/>
      <c r="BQ22" s="73"/>
      <c r="BR22" s="65"/>
      <c r="BS22" s="66"/>
      <c r="BT22" s="67"/>
      <c r="BU22" s="68">
        <v>1</v>
      </c>
      <c r="BV22" s="69"/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/>
      <c r="E23" s="66"/>
      <c r="F23" s="67"/>
      <c r="G23" s="68"/>
      <c r="H23" s="69">
        <v>1</v>
      </c>
      <c r="I23" s="70"/>
      <c r="J23" s="67"/>
      <c r="K23" s="71"/>
      <c r="L23" s="68"/>
      <c r="M23" s="72"/>
      <c r="N23" s="73"/>
      <c r="O23" s="65"/>
      <c r="P23" s="66"/>
      <c r="Q23" s="67"/>
      <c r="R23" s="68">
        <v>1</v>
      </c>
      <c r="S23" s="69"/>
      <c r="T23" s="70"/>
      <c r="U23" s="67"/>
      <c r="V23" s="71"/>
      <c r="W23" s="68"/>
      <c r="X23" s="72"/>
      <c r="Y23" s="73"/>
      <c r="Z23" s="65"/>
      <c r="AA23" s="66"/>
      <c r="AB23" s="67"/>
      <c r="AC23" s="68">
        <v>1</v>
      </c>
      <c r="AD23" s="69">
        <v>1</v>
      </c>
      <c r="AE23" s="70"/>
      <c r="AF23" s="67"/>
      <c r="AG23" s="71"/>
      <c r="AH23" s="68"/>
      <c r="AI23" s="72"/>
      <c r="AJ23" s="73"/>
      <c r="AK23" s="65"/>
      <c r="AL23" s="66"/>
      <c r="AM23" s="67"/>
      <c r="AN23" s="68">
        <v>1</v>
      </c>
      <c r="AO23" s="69">
        <v>1</v>
      </c>
      <c r="AP23" s="70"/>
      <c r="AQ23" s="67"/>
      <c r="AR23" s="71"/>
      <c r="AS23" s="68"/>
      <c r="AT23" s="72"/>
      <c r="AU23" s="73"/>
      <c r="AV23" s="65"/>
      <c r="AW23" s="66"/>
      <c r="AX23" s="67"/>
      <c r="AY23" s="68">
        <v>1</v>
      </c>
      <c r="AZ23" s="69"/>
      <c r="BA23" s="70"/>
      <c r="BB23" s="67"/>
      <c r="BC23" s="71"/>
      <c r="BD23" s="68"/>
      <c r="BE23" s="72"/>
      <c r="BF23" s="73"/>
      <c r="BG23" s="65"/>
      <c r="BH23" s="66"/>
      <c r="BI23" s="67"/>
      <c r="BJ23" s="68"/>
      <c r="BK23" s="69">
        <v>1</v>
      </c>
      <c r="BL23" s="70"/>
      <c r="BM23" s="67"/>
      <c r="BN23" s="71"/>
      <c r="BO23" s="68"/>
      <c r="BP23" s="72"/>
      <c r="BQ23" s="73"/>
      <c r="BR23" s="65"/>
      <c r="BS23" s="66"/>
      <c r="BT23" s="67"/>
      <c r="BU23" s="68">
        <v>1</v>
      </c>
      <c r="BV23" s="69">
        <v>1</v>
      </c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>
        <v>1</v>
      </c>
      <c r="E24" s="66"/>
      <c r="F24" s="67"/>
      <c r="G24" s="68"/>
      <c r="H24" s="69">
        <v>1</v>
      </c>
      <c r="I24" s="70"/>
      <c r="J24" s="67"/>
      <c r="K24" s="71"/>
      <c r="L24" s="68"/>
      <c r="M24" s="72"/>
      <c r="N24" s="73"/>
      <c r="O24" s="65"/>
      <c r="P24" s="66"/>
      <c r="Q24" s="67">
        <v>1</v>
      </c>
      <c r="R24" s="68">
        <v>1</v>
      </c>
      <c r="S24" s="69"/>
      <c r="T24" s="70"/>
      <c r="U24" s="67"/>
      <c r="V24" s="71"/>
      <c r="W24" s="68"/>
      <c r="X24" s="72"/>
      <c r="Y24" s="73"/>
      <c r="Z24" s="65">
        <v>0.5</v>
      </c>
      <c r="AA24" s="66"/>
      <c r="AB24" s="67"/>
      <c r="AC24" s="68"/>
      <c r="AD24" s="69">
        <v>1</v>
      </c>
      <c r="AE24" s="70"/>
      <c r="AF24" s="67"/>
      <c r="AG24" s="71"/>
      <c r="AH24" s="68"/>
      <c r="AI24" s="72"/>
      <c r="AJ24" s="73"/>
      <c r="AK24" s="65">
        <v>1</v>
      </c>
      <c r="AL24" s="66"/>
      <c r="AM24" s="67"/>
      <c r="AN24" s="68">
        <v>1</v>
      </c>
      <c r="AO24" s="69">
        <v>1</v>
      </c>
      <c r="AP24" s="70"/>
      <c r="AQ24" s="67"/>
      <c r="AR24" s="71"/>
      <c r="AS24" s="68"/>
      <c r="AT24" s="72"/>
      <c r="AU24" s="73"/>
      <c r="AV24" s="65"/>
      <c r="AW24" s="66"/>
      <c r="AX24" s="67"/>
      <c r="AY24" s="68">
        <v>1</v>
      </c>
      <c r="AZ24" s="69">
        <v>1</v>
      </c>
      <c r="BA24" s="70"/>
      <c r="BB24" s="67"/>
      <c r="BC24" s="71"/>
      <c r="BD24" s="68"/>
      <c r="BE24" s="72"/>
      <c r="BF24" s="73"/>
      <c r="BG24" s="65">
        <v>1</v>
      </c>
      <c r="BH24" s="66"/>
      <c r="BI24" s="67"/>
      <c r="BJ24" s="68">
        <v>1</v>
      </c>
      <c r="BK24" s="69">
        <v>1</v>
      </c>
      <c r="BL24" s="70"/>
      <c r="BM24" s="67"/>
      <c r="BN24" s="71"/>
      <c r="BO24" s="68"/>
      <c r="BP24" s="72"/>
      <c r="BQ24" s="73"/>
      <c r="BR24" s="65"/>
      <c r="BS24" s="66">
        <v>0.5</v>
      </c>
      <c r="BT24" s="67"/>
      <c r="BU24" s="68">
        <v>1</v>
      </c>
      <c r="BV24" s="69">
        <v>1</v>
      </c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>
        <v>1</v>
      </c>
      <c r="E25" s="66"/>
      <c r="F25" s="67"/>
      <c r="G25" s="68"/>
      <c r="H25" s="69">
        <v>1</v>
      </c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>
        <v>1</v>
      </c>
      <c r="S25" s="69"/>
      <c r="T25" s="70"/>
      <c r="U25" s="67"/>
      <c r="V25" s="71"/>
      <c r="W25" s="68"/>
      <c r="X25" s="72"/>
      <c r="Y25" s="73"/>
      <c r="Z25" s="65">
        <v>1</v>
      </c>
      <c r="AA25" s="66"/>
      <c r="AB25" s="67">
        <v>1</v>
      </c>
      <c r="AC25" s="68"/>
      <c r="AD25" s="69">
        <v>1</v>
      </c>
      <c r="AE25" s="70"/>
      <c r="AF25" s="67"/>
      <c r="AG25" s="71"/>
      <c r="AH25" s="68"/>
      <c r="AI25" s="72"/>
      <c r="AJ25" s="73"/>
      <c r="AK25" s="65">
        <v>1</v>
      </c>
      <c r="AL25" s="66"/>
      <c r="AM25" s="67"/>
      <c r="AN25" s="68">
        <v>1</v>
      </c>
      <c r="AO25" s="69">
        <v>1</v>
      </c>
      <c r="AP25" s="70"/>
      <c r="AQ25" s="67"/>
      <c r="AR25" s="71"/>
      <c r="AS25" s="68"/>
      <c r="AT25" s="72"/>
      <c r="AU25" s="73"/>
      <c r="AV25" s="65"/>
      <c r="AW25" s="66"/>
      <c r="AX25" s="67">
        <v>0.5</v>
      </c>
      <c r="AY25" s="68">
        <v>1</v>
      </c>
      <c r="AZ25" s="69">
        <v>1</v>
      </c>
      <c r="BA25" s="70"/>
      <c r="BB25" s="67"/>
      <c r="BC25" s="71"/>
      <c r="BD25" s="68"/>
      <c r="BE25" s="72"/>
      <c r="BF25" s="73"/>
      <c r="BG25" s="65">
        <v>1</v>
      </c>
      <c r="BH25" s="66"/>
      <c r="BI25" s="67"/>
      <c r="BJ25" s="68">
        <v>1</v>
      </c>
      <c r="BK25" s="69">
        <v>1</v>
      </c>
      <c r="BL25" s="70"/>
      <c r="BM25" s="67"/>
      <c r="BN25" s="71"/>
      <c r="BO25" s="68"/>
      <c r="BP25" s="72"/>
      <c r="BQ25" s="73"/>
      <c r="BR25" s="65"/>
      <c r="BS25" s="66">
        <v>1</v>
      </c>
      <c r="BT25" s="67"/>
      <c r="BU25" s="68">
        <v>1</v>
      </c>
      <c r="BV25" s="69">
        <v>1</v>
      </c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>
        <v>1</v>
      </c>
      <c r="E26" s="66"/>
      <c r="F26" s="67"/>
      <c r="G26" s="68"/>
      <c r="H26" s="69">
        <v>1</v>
      </c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>
        <v>1</v>
      </c>
      <c r="S26" s="69"/>
      <c r="T26" s="70"/>
      <c r="U26" s="67"/>
      <c r="V26" s="71"/>
      <c r="W26" s="68"/>
      <c r="X26" s="72"/>
      <c r="Y26" s="73"/>
      <c r="Z26" s="65">
        <v>1</v>
      </c>
      <c r="AA26" s="66"/>
      <c r="AB26" s="67">
        <v>1</v>
      </c>
      <c r="AC26" s="68"/>
      <c r="AD26" s="69">
        <v>1</v>
      </c>
      <c r="AE26" s="70"/>
      <c r="AF26" s="67"/>
      <c r="AG26" s="71"/>
      <c r="AH26" s="68"/>
      <c r="AI26" s="72"/>
      <c r="AJ26" s="73"/>
      <c r="AK26" s="65">
        <v>1</v>
      </c>
      <c r="AL26" s="66"/>
      <c r="AM26" s="67"/>
      <c r="AN26" s="68">
        <v>1</v>
      </c>
      <c r="AO26" s="69">
        <v>1</v>
      </c>
      <c r="AP26" s="70"/>
      <c r="AQ26" s="67"/>
      <c r="AR26" s="71"/>
      <c r="AS26" s="68"/>
      <c r="AT26" s="72"/>
      <c r="AU26" s="73"/>
      <c r="AV26" s="65"/>
      <c r="AW26" s="66"/>
      <c r="AX26" s="67">
        <v>1</v>
      </c>
      <c r="AY26" s="68">
        <v>1</v>
      </c>
      <c r="AZ26" s="69">
        <v>1</v>
      </c>
      <c r="BA26" s="70"/>
      <c r="BB26" s="67"/>
      <c r="BC26" s="71"/>
      <c r="BD26" s="68"/>
      <c r="BE26" s="72"/>
      <c r="BF26" s="73"/>
      <c r="BG26" s="65">
        <v>1</v>
      </c>
      <c r="BH26" s="66"/>
      <c r="BI26" s="67"/>
      <c r="BJ26" s="68">
        <v>1</v>
      </c>
      <c r="BK26" s="69"/>
      <c r="BL26" s="70"/>
      <c r="BM26" s="67"/>
      <c r="BN26" s="71"/>
      <c r="BO26" s="68"/>
      <c r="BP26" s="72"/>
      <c r="BQ26" s="73"/>
      <c r="BR26" s="65"/>
      <c r="BS26" s="66">
        <v>1</v>
      </c>
      <c r="BT26" s="67"/>
      <c r="BU26" s="68">
        <v>1</v>
      </c>
      <c r="BV26" s="69">
        <v>1</v>
      </c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>
        <v>1</v>
      </c>
      <c r="E27" s="66"/>
      <c r="F27" s="67"/>
      <c r="G27" s="68"/>
      <c r="H27" s="69">
        <v>1</v>
      </c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>
        <v>1</v>
      </c>
      <c r="S27" s="69"/>
      <c r="T27" s="70"/>
      <c r="U27" s="67"/>
      <c r="V27" s="71"/>
      <c r="W27" s="68"/>
      <c r="X27" s="72"/>
      <c r="Y27" s="73"/>
      <c r="Z27" s="65">
        <v>1</v>
      </c>
      <c r="AA27" s="66"/>
      <c r="AB27" s="67">
        <v>1</v>
      </c>
      <c r="AC27" s="68"/>
      <c r="AD27" s="69">
        <v>1</v>
      </c>
      <c r="AE27" s="70"/>
      <c r="AF27" s="67"/>
      <c r="AG27" s="71"/>
      <c r="AH27" s="68"/>
      <c r="AI27" s="72"/>
      <c r="AJ27" s="73"/>
      <c r="AK27" s="65">
        <v>1</v>
      </c>
      <c r="AL27" s="66"/>
      <c r="AM27" s="67"/>
      <c r="AN27" s="68">
        <v>1</v>
      </c>
      <c r="AO27" s="69">
        <v>1</v>
      </c>
      <c r="AP27" s="70"/>
      <c r="AQ27" s="67"/>
      <c r="AR27" s="71"/>
      <c r="AS27" s="68"/>
      <c r="AT27" s="72"/>
      <c r="AU27" s="73"/>
      <c r="AV27" s="65"/>
      <c r="AW27" s="66"/>
      <c r="AX27" s="67">
        <v>1</v>
      </c>
      <c r="AY27" s="68">
        <v>1</v>
      </c>
      <c r="AZ27" s="69">
        <v>1</v>
      </c>
      <c r="BA27" s="70"/>
      <c r="BB27" s="67"/>
      <c r="BC27" s="71"/>
      <c r="BD27" s="68"/>
      <c r="BE27" s="72"/>
      <c r="BF27" s="73"/>
      <c r="BG27" s="65">
        <v>1</v>
      </c>
      <c r="BH27" s="66"/>
      <c r="BI27" s="67"/>
      <c r="BJ27" s="68">
        <v>1</v>
      </c>
      <c r="BK27" s="69"/>
      <c r="BL27" s="70"/>
      <c r="BM27" s="67"/>
      <c r="BN27" s="71"/>
      <c r="BO27" s="68"/>
      <c r="BP27" s="72"/>
      <c r="BQ27" s="73"/>
      <c r="BR27" s="65"/>
      <c r="BS27" s="66">
        <v>1</v>
      </c>
      <c r="BT27" s="67"/>
      <c r="BU27" s="68">
        <v>1</v>
      </c>
      <c r="BV27" s="69">
        <v>1</v>
      </c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>
        <v>1</v>
      </c>
      <c r="E28" s="66"/>
      <c r="F28" s="67"/>
      <c r="G28" s="68"/>
      <c r="H28" s="69">
        <v>1</v>
      </c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>
        <v>1</v>
      </c>
      <c r="S28" s="69"/>
      <c r="T28" s="70"/>
      <c r="U28" s="67"/>
      <c r="V28" s="71"/>
      <c r="W28" s="68"/>
      <c r="X28" s="72"/>
      <c r="Y28" s="73"/>
      <c r="Z28" s="65">
        <v>1</v>
      </c>
      <c r="AA28" s="66"/>
      <c r="AB28" s="67">
        <v>1</v>
      </c>
      <c r="AC28" s="68"/>
      <c r="AD28" s="69">
        <v>1</v>
      </c>
      <c r="AE28" s="70"/>
      <c r="AF28" s="67"/>
      <c r="AG28" s="71"/>
      <c r="AH28" s="68"/>
      <c r="AI28" s="72"/>
      <c r="AJ28" s="73"/>
      <c r="AK28" s="65">
        <v>1</v>
      </c>
      <c r="AL28" s="66"/>
      <c r="AM28" s="67"/>
      <c r="AN28" s="68">
        <v>1</v>
      </c>
      <c r="AO28" s="71"/>
      <c r="AP28" s="71"/>
      <c r="AQ28" s="71"/>
      <c r="AR28" s="71"/>
      <c r="AS28" s="68"/>
      <c r="AT28" s="72"/>
      <c r="AU28" s="73"/>
      <c r="AV28" s="65"/>
      <c r="AW28" s="66"/>
      <c r="AX28" s="67">
        <v>1</v>
      </c>
      <c r="AY28" s="68">
        <v>1</v>
      </c>
      <c r="AZ28" s="69">
        <v>1</v>
      </c>
      <c r="BA28" s="70"/>
      <c r="BB28" s="67"/>
      <c r="BC28" s="71"/>
      <c r="BD28" s="68"/>
      <c r="BE28" s="72"/>
      <c r="BF28" s="73"/>
      <c r="BG28" s="65">
        <v>1</v>
      </c>
      <c r="BH28" s="66"/>
      <c r="BI28" s="67"/>
      <c r="BJ28" s="68">
        <v>1</v>
      </c>
      <c r="BK28" s="69"/>
      <c r="BL28" s="70"/>
      <c r="BM28" s="67"/>
      <c r="BN28" s="71"/>
      <c r="BO28" s="68"/>
      <c r="BP28" s="72"/>
      <c r="BQ28" s="73"/>
      <c r="BR28" s="65"/>
      <c r="BS28" s="66">
        <v>1</v>
      </c>
      <c r="BT28" s="67"/>
      <c r="BU28" s="68">
        <v>1</v>
      </c>
      <c r="BV28" s="69">
        <v>1</v>
      </c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01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02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03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04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05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06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07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SOFIA</v>
      </c>
      <c r="E33" s="31" t="str">
        <f t="shared" si="0"/>
        <v>ANAHY</v>
      </c>
      <c r="F33" s="32" t="str">
        <f t="shared" si="0"/>
        <v>MICHAEL</v>
      </c>
      <c r="G33" s="33" t="str">
        <f t="shared" si="0"/>
        <v>LINDSAY</v>
      </c>
      <c r="H33" s="34" t="str">
        <f t="shared" si="0"/>
        <v>MILA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SOFIA</v>
      </c>
      <c r="P33" s="31" t="str">
        <f t="shared" si="1"/>
        <v>ANAHY</v>
      </c>
      <c r="Q33" s="32" t="str">
        <f t="shared" si="1"/>
        <v>MICHAEL</v>
      </c>
      <c r="R33" s="33" t="str">
        <f t="shared" si="1"/>
        <v>LINDSAY</v>
      </c>
      <c r="S33" s="34" t="str">
        <f t="shared" si="1"/>
        <v>MILA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SOFIA</v>
      </c>
      <c r="AA33" s="31" t="str">
        <f t="shared" si="2"/>
        <v>ANAHY</v>
      </c>
      <c r="AB33" s="32" t="str">
        <f t="shared" si="2"/>
        <v>MICHAEL</v>
      </c>
      <c r="AC33" s="33" t="str">
        <f t="shared" si="2"/>
        <v>LINDSAY</v>
      </c>
      <c r="AD33" s="34" t="str">
        <f t="shared" si="2"/>
        <v>MILA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SOFIA</v>
      </c>
      <c r="AL33" s="31" t="str">
        <f t="shared" si="3"/>
        <v>ANAHY</v>
      </c>
      <c r="AM33" s="32" t="str">
        <f t="shared" si="3"/>
        <v>MICHAEL</v>
      </c>
      <c r="AN33" s="33" t="str">
        <f t="shared" si="3"/>
        <v>LINDSAY</v>
      </c>
      <c r="AO33" s="34" t="str">
        <f t="shared" si="3"/>
        <v>MILA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SOFIA</v>
      </c>
      <c r="AW33" s="31" t="str">
        <f t="shared" si="4"/>
        <v>ANAHY</v>
      </c>
      <c r="AX33" s="32" t="str">
        <f t="shared" si="4"/>
        <v>MICHAEL</v>
      </c>
      <c r="AY33" s="33" t="str">
        <f t="shared" si="4"/>
        <v>LINDSAY</v>
      </c>
      <c r="AZ33" s="34" t="str">
        <f t="shared" si="4"/>
        <v>MILA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SOFIA</v>
      </c>
      <c r="BH33" s="31" t="str">
        <f t="shared" si="5"/>
        <v>ANAHY</v>
      </c>
      <c r="BI33" s="32" t="str">
        <f t="shared" si="5"/>
        <v>MICHAEL</v>
      </c>
      <c r="BJ33" s="33" t="str">
        <f t="shared" si="5"/>
        <v>LINDSAY</v>
      </c>
      <c r="BK33" s="34" t="str">
        <f t="shared" si="5"/>
        <v>MILA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SOFIA</v>
      </c>
      <c r="BS33" s="31" t="str">
        <f t="shared" si="6"/>
        <v>ANAHY</v>
      </c>
      <c r="BT33" s="32" t="str">
        <f t="shared" si="6"/>
        <v>MICHAEL</v>
      </c>
      <c r="BU33" s="33" t="str">
        <f t="shared" si="6"/>
        <v>LINDSAY</v>
      </c>
      <c r="BV33" s="34" t="str">
        <f t="shared" si="6"/>
        <v>MILA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5</v>
      </c>
      <c r="E34" s="48">
        <f t="shared" ref="E34:M34" si="7">SUM(E7:E30)</f>
        <v>4</v>
      </c>
      <c r="F34" s="49">
        <f t="shared" si="7"/>
        <v>0</v>
      </c>
      <c r="G34" s="50">
        <f t="shared" si="7"/>
        <v>0</v>
      </c>
      <c r="H34" s="51">
        <f t="shared" si="7"/>
        <v>10</v>
      </c>
      <c r="I34" s="52">
        <f t="shared" si="7"/>
        <v>0.5</v>
      </c>
      <c r="J34" s="49">
        <f t="shared" si="7"/>
        <v>0.5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0</v>
      </c>
      <c r="P34" s="48">
        <f t="shared" si="8"/>
        <v>4</v>
      </c>
      <c r="Q34" s="49">
        <f t="shared" si="8"/>
        <v>5</v>
      </c>
      <c r="R34" s="50">
        <f t="shared" si="8"/>
        <v>9.5</v>
      </c>
      <c r="S34" s="51">
        <f t="shared" si="8"/>
        <v>1.5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4.5</v>
      </c>
      <c r="AA34" s="48">
        <f t="shared" si="9"/>
        <v>0</v>
      </c>
      <c r="AB34" s="49">
        <f t="shared" si="9"/>
        <v>4</v>
      </c>
      <c r="AC34" s="50">
        <f t="shared" si="9"/>
        <v>6</v>
      </c>
      <c r="AD34" s="51">
        <f t="shared" si="9"/>
        <v>7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5</v>
      </c>
      <c r="AL34" s="48">
        <f t="shared" si="10"/>
        <v>0</v>
      </c>
      <c r="AM34" s="49">
        <f t="shared" si="10"/>
        <v>4</v>
      </c>
      <c r="AN34" s="50">
        <f t="shared" si="10"/>
        <v>7</v>
      </c>
      <c r="AO34" s="51">
        <f t="shared" si="10"/>
        <v>7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0</v>
      </c>
      <c r="AW34" s="48">
        <f t="shared" si="11"/>
        <v>5.5</v>
      </c>
      <c r="AX34" s="49">
        <f t="shared" si="11"/>
        <v>5</v>
      </c>
      <c r="AY34" s="50">
        <f t="shared" si="11"/>
        <v>10.5</v>
      </c>
      <c r="AZ34" s="51">
        <f t="shared" si="11"/>
        <v>7.5</v>
      </c>
      <c r="BA34" s="52">
        <f t="shared" si="11"/>
        <v>0.5</v>
      </c>
      <c r="BB34" s="49">
        <f t="shared" si="11"/>
        <v>0.5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5</v>
      </c>
      <c r="BH34" s="48">
        <f t="shared" si="12"/>
        <v>5.5</v>
      </c>
      <c r="BI34" s="49">
        <f t="shared" si="12"/>
        <v>1.5</v>
      </c>
      <c r="BJ34" s="50">
        <f t="shared" si="12"/>
        <v>7.5</v>
      </c>
      <c r="BK34" s="51">
        <f t="shared" si="12"/>
        <v>8.5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4</v>
      </c>
      <c r="BS34" s="48">
        <f t="shared" si="13"/>
        <v>4.5</v>
      </c>
      <c r="BT34" s="49">
        <f t="shared" si="13"/>
        <v>4</v>
      </c>
      <c r="BU34" s="50">
        <f t="shared" si="13"/>
        <v>7.5</v>
      </c>
      <c r="BV34" s="51">
        <f t="shared" si="13"/>
        <v>6.5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/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23.5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36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23.5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37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23.5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48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39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48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1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1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  <mergeCell ref="B41:J41"/>
    <mergeCell ref="L41:N41"/>
    <mergeCell ref="B42:J42"/>
    <mergeCell ref="L42:N42"/>
    <mergeCell ref="B43:J43"/>
    <mergeCell ref="L43:N43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</mergeCells>
  <conditionalFormatting sqref="D7:M14 D29:M30">
    <cfRule type="expression" dxfId="188" priority="14">
      <formula>IF(OR(D7=0,D7=""),TRUE(),FALSE())</formula>
    </cfRule>
  </conditionalFormatting>
  <conditionalFormatting sqref="D15:M28">
    <cfRule type="expression" dxfId="187" priority="13">
      <formula>IF(OR(D15=0,D15=""),TRUE(),FALSE())</formula>
    </cfRule>
  </conditionalFormatting>
  <conditionalFormatting sqref="O7:X14 O29:X30">
    <cfRule type="expression" dxfId="186" priority="12">
      <formula>IF(OR(O7=0,O7=""),TRUE(),FALSE())</formula>
    </cfRule>
  </conditionalFormatting>
  <conditionalFormatting sqref="O15:X28">
    <cfRule type="expression" dxfId="185" priority="11">
      <formula>IF(OR(O15=0,O15=""),TRUE(),FALSE())</formula>
    </cfRule>
  </conditionalFormatting>
  <conditionalFormatting sqref="Z7:AI14 Z29:AI30">
    <cfRule type="expression" dxfId="184" priority="10">
      <formula>IF(OR(Z7=0,Z7=""),TRUE(),FALSE())</formula>
    </cfRule>
  </conditionalFormatting>
  <conditionalFormatting sqref="Z15:AI28">
    <cfRule type="expression" dxfId="183" priority="9">
      <formula>IF(OR(Z15=0,Z15=""),TRUE(),FALSE())</formula>
    </cfRule>
  </conditionalFormatting>
  <conditionalFormatting sqref="AK7:AT14 AK29:AT30">
    <cfRule type="expression" dxfId="182" priority="8">
      <formula>IF(OR(AK7=0,AK7=""),TRUE(),FALSE())</formula>
    </cfRule>
  </conditionalFormatting>
  <conditionalFormatting sqref="AK15:AT28">
    <cfRule type="expression" dxfId="181" priority="7">
      <formula>IF(OR(AK15=0,AK15=""),TRUE(),FALSE())</formula>
    </cfRule>
  </conditionalFormatting>
  <conditionalFormatting sqref="AV7:BE14 AV29:BE30">
    <cfRule type="expression" dxfId="180" priority="6">
      <formula>IF(OR(AV7=0,AV7=""),TRUE(),FALSE())</formula>
    </cfRule>
  </conditionalFormatting>
  <conditionalFormatting sqref="AV15:BE28">
    <cfRule type="expression" dxfId="179" priority="5">
      <formula>IF(OR(AV15=0,AV15=""),TRUE(),FALSE())</formula>
    </cfRule>
  </conditionalFormatting>
  <conditionalFormatting sqref="BG7:BP14 BG29:BP30">
    <cfRule type="expression" dxfId="178" priority="4">
      <formula>IF(OR(BG7=0,BG7=""),TRUE(),FALSE())</formula>
    </cfRule>
  </conditionalFormatting>
  <conditionalFormatting sqref="BG15:BP28">
    <cfRule type="expression" dxfId="177" priority="3">
      <formula>IF(OR(BG15=0,BG15=""),TRUE(),FALSE())</formula>
    </cfRule>
  </conditionalFormatting>
  <conditionalFormatting sqref="BR7:CA14 BR29:CA30">
    <cfRule type="expression" dxfId="176" priority="2">
      <formula>IF(OR(BR7=0,BR7=""),TRUE(),FALSE())</formula>
    </cfRule>
  </conditionalFormatting>
  <conditionalFormatting sqref="BR15:CA28">
    <cfRule type="expression" dxfId="175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F770935A-F439-4DEE-A993-6B0466AE11BF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11A7F-5344-4C83-9A12-3EB23C6B4F55}">
  <sheetPr codeName="Hoja16"/>
  <dimension ref="A1:CA48"/>
  <sheetViews>
    <sheetView showGridLines="0" topLeftCell="C3" zoomScale="80" zoomScaleNormal="80" workbookViewId="0">
      <selection activeCell="BZ17" sqref="BZ17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08 DE MARZO AL 14 DE MARZO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46089</v>
      </c>
      <c r="D5" s="63" t="str">
        <f>CONCATENATE("Lunes ",TEXT(DAY(C5),"00"))</f>
        <v>Lunes 08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09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10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11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12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13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14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41</v>
      </c>
      <c r="E6" s="9" t="s">
        <v>33</v>
      </c>
      <c r="F6" s="10" t="s">
        <v>31</v>
      </c>
      <c r="G6" s="11" t="s">
        <v>21</v>
      </c>
      <c r="H6" s="12" t="s">
        <v>13</v>
      </c>
      <c r="I6" s="13"/>
      <c r="J6" s="10"/>
      <c r="K6" s="14"/>
      <c r="L6" s="11"/>
      <c r="M6" s="15"/>
      <c r="O6" s="8" t="str">
        <f>D6</f>
        <v>SOFIA</v>
      </c>
      <c r="P6" s="9" t="str">
        <f>E6</f>
        <v>ANAHY</v>
      </c>
      <c r="Q6" s="10" t="str">
        <f>F6</f>
        <v>MICHAEL</v>
      </c>
      <c r="R6" s="11" t="str">
        <f>G6</f>
        <v>LINDSAY</v>
      </c>
      <c r="S6" s="12" t="str">
        <f>H6</f>
        <v>MILA</v>
      </c>
      <c r="T6" s="13"/>
      <c r="U6" s="10"/>
      <c r="V6" s="14"/>
      <c r="W6" s="11"/>
      <c r="X6" s="15"/>
      <c r="Z6" s="8" t="str">
        <f>O6</f>
        <v>SOFIA</v>
      </c>
      <c r="AA6" s="9" t="s">
        <v>33</v>
      </c>
      <c r="AB6" s="10" t="str">
        <f>Q6</f>
        <v>MICHAEL</v>
      </c>
      <c r="AC6" s="11" t="str">
        <f>R6</f>
        <v>LINDSAY</v>
      </c>
      <c r="AD6" s="12" t="str">
        <f>H6</f>
        <v>MILA</v>
      </c>
      <c r="AE6" s="13"/>
      <c r="AF6" s="10"/>
      <c r="AG6" s="14"/>
      <c r="AH6" s="11"/>
      <c r="AI6" s="15"/>
      <c r="AK6" s="8" t="str">
        <f>Z6</f>
        <v>SOFIA</v>
      </c>
      <c r="AL6" s="9" t="str">
        <f>AA6</f>
        <v>ANAHY</v>
      </c>
      <c r="AM6" s="10" t="str">
        <f>Q6</f>
        <v>MICHAEL</v>
      </c>
      <c r="AN6" s="11" t="str">
        <f>AC6</f>
        <v>LINDSAY</v>
      </c>
      <c r="AO6" s="12" t="str">
        <f>H6</f>
        <v>MILA</v>
      </c>
      <c r="AP6" s="13"/>
      <c r="AQ6" s="10"/>
      <c r="AR6" s="14"/>
      <c r="AS6" s="11"/>
      <c r="AT6" s="15"/>
      <c r="AV6" s="8" t="str">
        <f>AK6</f>
        <v>SOFIA</v>
      </c>
      <c r="AW6" s="9" t="s">
        <v>33</v>
      </c>
      <c r="AX6" s="10" t="str">
        <f>AB6</f>
        <v>MICHAEL</v>
      </c>
      <c r="AY6" s="11" t="str">
        <f>AN6</f>
        <v>LINDSAY</v>
      </c>
      <c r="AZ6" s="12" t="str">
        <f>H6</f>
        <v>MILA</v>
      </c>
      <c r="BA6" s="13"/>
      <c r="BB6" s="10"/>
      <c r="BC6" s="14"/>
      <c r="BD6" s="11"/>
      <c r="BE6" s="15"/>
      <c r="BG6" s="8" t="str">
        <f>AV6</f>
        <v>SOFIA</v>
      </c>
      <c r="BH6" s="9" t="s">
        <v>33</v>
      </c>
      <c r="BI6" s="10" t="str">
        <f>AX6</f>
        <v>MICHAEL</v>
      </c>
      <c r="BJ6" s="11" t="str">
        <f>AC6</f>
        <v>LINDSAY</v>
      </c>
      <c r="BK6" s="12" t="str">
        <f>S6</f>
        <v>MILA</v>
      </c>
      <c r="BL6" s="13"/>
      <c r="BM6" s="10"/>
      <c r="BN6" s="14"/>
      <c r="BO6" s="11"/>
      <c r="BP6" s="15"/>
      <c r="BR6" s="8" t="str">
        <f>AV6</f>
        <v>SOFIA</v>
      </c>
      <c r="BS6" s="9" t="str">
        <f>BH6</f>
        <v>ANAHY</v>
      </c>
      <c r="BT6" s="10" t="str">
        <f>AX6</f>
        <v>MICHAEL</v>
      </c>
      <c r="BU6" s="11" t="str">
        <f>BJ6</f>
        <v>LINDSAY</v>
      </c>
      <c r="BV6" s="12" t="s">
        <v>13</v>
      </c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>
        <v>0.5</v>
      </c>
      <c r="BB14" s="18">
        <v>0.5</v>
      </c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>
        <v>1</v>
      </c>
      <c r="E15" s="66">
        <v>1</v>
      </c>
      <c r="F15" s="67">
        <v>1</v>
      </c>
      <c r="G15" s="68">
        <v>1</v>
      </c>
      <c r="H15" s="69">
        <v>1</v>
      </c>
      <c r="I15" s="70"/>
      <c r="J15" s="67"/>
      <c r="K15" s="71"/>
      <c r="L15" s="68"/>
      <c r="M15" s="72"/>
      <c r="N15" s="73"/>
      <c r="O15" s="65">
        <v>1</v>
      </c>
      <c r="P15" s="66">
        <v>1</v>
      </c>
      <c r="Q15" s="67">
        <v>1</v>
      </c>
      <c r="R15" s="68">
        <v>1</v>
      </c>
      <c r="S15" s="69">
        <v>1</v>
      </c>
      <c r="T15" s="70"/>
      <c r="U15" s="67"/>
      <c r="V15" s="71"/>
      <c r="W15" s="68"/>
      <c r="X15" s="72"/>
      <c r="Y15" s="73"/>
      <c r="Z15" s="65"/>
      <c r="AA15" s="66"/>
      <c r="AB15" s="67"/>
      <c r="AC15" s="68">
        <v>1</v>
      </c>
      <c r="AD15" s="69">
        <v>1</v>
      </c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>
        <v>1</v>
      </c>
      <c r="BH15" s="66">
        <v>1</v>
      </c>
      <c r="BI15" s="67">
        <v>1</v>
      </c>
      <c r="BJ15" s="68">
        <v>1</v>
      </c>
      <c r="BK15" s="69">
        <v>1</v>
      </c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>
        <v>0.5</v>
      </c>
      <c r="E16" s="66">
        <v>0.5</v>
      </c>
      <c r="F16" s="67">
        <v>0.5</v>
      </c>
      <c r="G16" s="68">
        <v>0.5</v>
      </c>
      <c r="H16" s="69">
        <v>0.5</v>
      </c>
      <c r="I16" s="70">
        <v>0.5</v>
      </c>
      <c r="J16" s="67">
        <v>0.5</v>
      </c>
      <c r="K16" s="71"/>
      <c r="L16" s="68"/>
      <c r="M16" s="72"/>
      <c r="N16" s="73"/>
      <c r="O16" s="65">
        <v>0.5</v>
      </c>
      <c r="P16" s="66">
        <v>0.5</v>
      </c>
      <c r="Q16" s="67">
        <v>0.5</v>
      </c>
      <c r="R16" s="68">
        <v>0.5</v>
      </c>
      <c r="S16" s="69">
        <v>0.5</v>
      </c>
      <c r="T16" s="70"/>
      <c r="U16" s="67"/>
      <c r="V16" s="71"/>
      <c r="W16" s="68"/>
      <c r="X16" s="72"/>
      <c r="Y16" s="73"/>
      <c r="Z16" s="65"/>
      <c r="AA16" s="66"/>
      <c r="AB16" s="67"/>
      <c r="AC16" s="68">
        <v>0.5</v>
      </c>
      <c r="AD16" s="69">
        <v>0.5</v>
      </c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>
        <v>0.5</v>
      </c>
      <c r="BH16" s="66">
        <v>0.5</v>
      </c>
      <c r="BI16" s="67">
        <v>0.5</v>
      </c>
      <c r="BJ16" s="68">
        <v>0.5</v>
      </c>
      <c r="BK16" s="69">
        <v>0.5</v>
      </c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>
        <v>1</v>
      </c>
      <c r="F17" s="67"/>
      <c r="G17" s="68"/>
      <c r="H17" s="69"/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/>
      <c r="S17" s="69"/>
      <c r="T17" s="70"/>
      <c r="U17" s="67"/>
      <c r="V17" s="71"/>
      <c r="W17" s="68"/>
      <c r="X17" s="72"/>
      <c r="Y17" s="73"/>
      <c r="Z17" s="65"/>
      <c r="AA17" s="66"/>
      <c r="AB17" s="67"/>
      <c r="AC17" s="68">
        <v>1</v>
      </c>
      <c r="AD17" s="69"/>
      <c r="AE17" s="70"/>
      <c r="AF17" s="67"/>
      <c r="AG17" s="71"/>
      <c r="AH17" s="68"/>
      <c r="AI17" s="72"/>
      <c r="AJ17" s="73"/>
      <c r="AK17" s="65"/>
      <c r="AL17" s="66"/>
      <c r="AM17" s="67"/>
      <c r="AN17" s="68"/>
      <c r="AO17" s="69">
        <v>1</v>
      </c>
      <c r="AP17" s="70"/>
      <c r="AQ17" s="67"/>
      <c r="AR17" s="71"/>
      <c r="AS17" s="68"/>
      <c r="AT17" s="72"/>
      <c r="AU17" s="73"/>
      <c r="AV17" s="65"/>
      <c r="AW17" s="66">
        <v>1</v>
      </c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/>
      <c r="BI17" s="67">
        <v>1</v>
      </c>
      <c r="BJ17" s="68"/>
      <c r="BK17" s="69">
        <v>1</v>
      </c>
      <c r="BL17" s="70"/>
      <c r="BM17" s="67"/>
      <c r="BN17" s="71"/>
      <c r="BO17" s="68"/>
      <c r="BP17" s="72"/>
      <c r="BQ17" s="73"/>
      <c r="BR17" s="65"/>
      <c r="BS17" s="66">
        <v>1</v>
      </c>
      <c r="BT17" s="67"/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>
        <v>1</v>
      </c>
      <c r="F18" s="67"/>
      <c r="G18" s="68"/>
      <c r="H18" s="69">
        <v>0.5</v>
      </c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/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>
        <v>1</v>
      </c>
      <c r="AD18" s="69"/>
      <c r="AE18" s="70"/>
      <c r="AF18" s="67"/>
      <c r="AG18" s="71"/>
      <c r="AH18" s="68"/>
      <c r="AI18" s="72"/>
      <c r="AJ18" s="73"/>
      <c r="AK18" s="65"/>
      <c r="AL18" s="66"/>
      <c r="AM18" s="67"/>
      <c r="AN18" s="68"/>
      <c r="AO18" s="69">
        <v>1</v>
      </c>
      <c r="AP18" s="70"/>
      <c r="AQ18" s="67"/>
      <c r="AR18" s="71"/>
      <c r="AS18" s="68"/>
      <c r="AT18" s="72"/>
      <c r="AU18" s="73"/>
      <c r="AV18" s="65"/>
      <c r="AW18" s="66">
        <v>1</v>
      </c>
      <c r="AX18" s="67"/>
      <c r="AY18" s="68">
        <v>0.5</v>
      </c>
      <c r="AZ18" s="69"/>
      <c r="BA18" s="70"/>
      <c r="BB18" s="67"/>
      <c r="BC18" s="71"/>
      <c r="BD18" s="68"/>
      <c r="BE18" s="72"/>
      <c r="BF18" s="73"/>
      <c r="BG18" s="65"/>
      <c r="BH18" s="66"/>
      <c r="BI18" s="67">
        <v>1</v>
      </c>
      <c r="BJ18" s="68"/>
      <c r="BK18" s="69">
        <v>1</v>
      </c>
      <c r="BL18" s="70"/>
      <c r="BM18" s="67"/>
      <c r="BN18" s="71"/>
      <c r="BO18" s="68"/>
      <c r="BP18" s="72"/>
      <c r="BQ18" s="73"/>
      <c r="BR18" s="65"/>
      <c r="BS18" s="66">
        <v>1</v>
      </c>
      <c r="BT18" s="67"/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>
        <v>1</v>
      </c>
      <c r="F19" s="67"/>
      <c r="G19" s="68"/>
      <c r="H19" s="69">
        <v>1</v>
      </c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/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>
        <v>1</v>
      </c>
      <c r="AD19" s="69"/>
      <c r="AE19" s="70"/>
      <c r="AF19" s="67"/>
      <c r="AG19" s="71"/>
      <c r="AH19" s="68"/>
      <c r="AI19" s="72"/>
      <c r="AJ19" s="73"/>
      <c r="AK19" s="65"/>
      <c r="AL19" s="66"/>
      <c r="AM19" s="67"/>
      <c r="AN19" s="68"/>
      <c r="AO19" s="69">
        <v>1</v>
      </c>
      <c r="AP19" s="70"/>
      <c r="AQ19" s="67"/>
      <c r="AR19" s="71"/>
      <c r="AS19" s="68"/>
      <c r="AT19" s="72"/>
      <c r="AU19" s="73"/>
      <c r="AV19" s="65"/>
      <c r="AW19" s="66">
        <v>1</v>
      </c>
      <c r="AX19" s="67"/>
      <c r="AY19" s="68">
        <v>1</v>
      </c>
      <c r="AZ19" s="69"/>
      <c r="BA19" s="70"/>
      <c r="BB19" s="67"/>
      <c r="BC19" s="71"/>
      <c r="BD19" s="68"/>
      <c r="BE19" s="72"/>
      <c r="BF19" s="73"/>
      <c r="BG19" s="65"/>
      <c r="BH19" s="66"/>
      <c r="BI19" s="67"/>
      <c r="BJ19" s="68"/>
      <c r="BK19" s="69">
        <v>1</v>
      </c>
      <c r="BL19" s="70"/>
      <c r="BM19" s="67"/>
      <c r="BN19" s="71"/>
      <c r="BO19" s="68"/>
      <c r="BP19" s="72"/>
      <c r="BQ19" s="73"/>
      <c r="BR19" s="65"/>
      <c r="BS19" s="66">
        <v>1</v>
      </c>
      <c r="BT19" s="67"/>
      <c r="BU19" s="68"/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>
        <v>1</v>
      </c>
      <c r="F20" s="67"/>
      <c r="G20" s="68"/>
      <c r="H20" s="69"/>
      <c r="I20" s="70"/>
      <c r="J20" s="67"/>
      <c r="K20" s="71"/>
      <c r="L20" s="68"/>
      <c r="M20" s="72"/>
      <c r="N20" s="74"/>
      <c r="O20" s="65"/>
      <c r="P20" s="66">
        <v>1</v>
      </c>
      <c r="Q20" s="67"/>
      <c r="R20" s="68">
        <v>1</v>
      </c>
      <c r="S20" s="69"/>
      <c r="T20" s="70"/>
      <c r="U20" s="67"/>
      <c r="V20" s="71"/>
      <c r="W20" s="68"/>
      <c r="X20" s="72"/>
      <c r="Y20" s="74"/>
      <c r="Z20" s="65"/>
      <c r="AA20" s="66"/>
      <c r="AB20" s="67"/>
      <c r="AC20" s="68">
        <v>1</v>
      </c>
      <c r="AD20" s="69"/>
      <c r="AE20" s="70"/>
      <c r="AF20" s="67"/>
      <c r="AG20" s="71"/>
      <c r="AH20" s="68"/>
      <c r="AI20" s="72"/>
      <c r="AJ20" s="74"/>
      <c r="AK20" s="65"/>
      <c r="AL20" s="66"/>
      <c r="AM20" s="67"/>
      <c r="AN20" s="68"/>
      <c r="AO20" s="69">
        <v>1</v>
      </c>
      <c r="AP20" s="70"/>
      <c r="AQ20" s="67"/>
      <c r="AR20" s="71"/>
      <c r="AS20" s="68"/>
      <c r="AT20" s="72"/>
      <c r="AU20" s="74"/>
      <c r="AV20" s="65"/>
      <c r="AW20" s="66">
        <v>1</v>
      </c>
      <c r="AX20" s="67"/>
      <c r="AY20" s="68">
        <v>1</v>
      </c>
      <c r="AZ20" s="69"/>
      <c r="BA20" s="70"/>
      <c r="BB20" s="67"/>
      <c r="BC20" s="71"/>
      <c r="BD20" s="68"/>
      <c r="BE20" s="72"/>
      <c r="BF20" s="74"/>
      <c r="BG20" s="65"/>
      <c r="BH20" s="66"/>
      <c r="BI20" s="67">
        <v>1</v>
      </c>
      <c r="BJ20" s="68"/>
      <c r="BK20" s="69"/>
      <c r="BL20" s="70"/>
      <c r="BM20" s="67"/>
      <c r="BN20" s="71"/>
      <c r="BO20" s="68"/>
      <c r="BP20" s="72"/>
      <c r="BQ20" s="74"/>
      <c r="BR20" s="65"/>
      <c r="BS20" s="66">
        <v>0.5</v>
      </c>
      <c r="BT20" s="67"/>
      <c r="BU20" s="68">
        <v>0.5</v>
      </c>
      <c r="BV20" s="69"/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/>
      <c r="F21" s="67"/>
      <c r="G21" s="68"/>
      <c r="H21" s="69">
        <v>1</v>
      </c>
      <c r="I21" s="70"/>
      <c r="J21" s="67"/>
      <c r="K21" s="71"/>
      <c r="L21" s="68"/>
      <c r="M21" s="72"/>
      <c r="N21" s="73"/>
      <c r="O21" s="65"/>
      <c r="P21" s="66"/>
      <c r="Q21" s="67"/>
      <c r="R21" s="68"/>
      <c r="S21" s="69"/>
      <c r="T21" s="70"/>
      <c r="U21" s="67"/>
      <c r="V21" s="71"/>
      <c r="W21" s="68"/>
      <c r="X21" s="72"/>
      <c r="Y21" s="73"/>
      <c r="Z21" s="65"/>
      <c r="AA21" s="66"/>
      <c r="AB21" s="67"/>
      <c r="AC21" s="68"/>
      <c r="AD21" s="69">
        <v>1</v>
      </c>
      <c r="AE21" s="70"/>
      <c r="AF21" s="67"/>
      <c r="AG21" s="71"/>
      <c r="AH21" s="68"/>
      <c r="AI21" s="72"/>
      <c r="AJ21" s="73"/>
      <c r="AK21" s="65"/>
      <c r="AL21" s="66"/>
      <c r="AM21" s="67"/>
      <c r="AN21" s="68">
        <v>1</v>
      </c>
      <c r="AO21" s="69"/>
      <c r="AP21" s="70"/>
      <c r="AQ21" s="67"/>
      <c r="AR21" s="71"/>
      <c r="AS21" s="68"/>
      <c r="AT21" s="72"/>
      <c r="AU21" s="73"/>
      <c r="AV21" s="65"/>
      <c r="AW21" s="66"/>
      <c r="AX21" s="67"/>
      <c r="AY21" s="68">
        <v>1</v>
      </c>
      <c r="AZ21" s="69"/>
      <c r="BA21" s="70"/>
      <c r="BB21" s="67"/>
      <c r="BC21" s="71"/>
      <c r="BD21" s="68"/>
      <c r="BE21" s="72"/>
      <c r="BF21" s="73"/>
      <c r="BG21" s="65"/>
      <c r="BH21" s="66"/>
      <c r="BI21" s="67">
        <v>1</v>
      </c>
      <c r="BJ21" s="68"/>
      <c r="BK21" s="69">
        <v>1</v>
      </c>
      <c r="BL21" s="70"/>
      <c r="BM21" s="67"/>
      <c r="BN21" s="71"/>
      <c r="BO21" s="68"/>
      <c r="BP21" s="72"/>
      <c r="BQ21" s="73"/>
      <c r="BR21" s="65"/>
      <c r="BS21" s="66"/>
      <c r="BT21" s="67"/>
      <c r="BU21" s="68"/>
      <c r="BV21" s="69">
        <v>0.5</v>
      </c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/>
      <c r="G22" s="68"/>
      <c r="H22" s="69">
        <v>1</v>
      </c>
      <c r="I22" s="70"/>
      <c r="J22" s="67"/>
      <c r="K22" s="71"/>
      <c r="L22" s="68"/>
      <c r="M22" s="72"/>
      <c r="N22" s="73"/>
      <c r="O22" s="65"/>
      <c r="P22" s="66"/>
      <c r="Q22" s="67"/>
      <c r="R22" s="68">
        <v>1</v>
      </c>
      <c r="S22" s="69"/>
      <c r="T22" s="70"/>
      <c r="U22" s="67"/>
      <c r="V22" s="71"/>
      <c r="W22" s="68"/>
      <c r="X22" s="72"/>
      <c r="Y22" s="73"/>
      <c r="Z22" s="65"/>
      <c r="AA22" s="66"/>
      <c r="AB22" s="67"/>
      <c r="AC22" s="68">
        <v>1</v>
      </c>
      <c r="AD22" s="69"/>
      <c r="AE22" s="70"/>
      <c r="AF22" s="67"/>
      <c r="AG22" s="71"/>
      <c r="AH22" s="68"/>
      <c r="AI22" s="72"/>
      <c r="AJ22" s="73"/>
      <c r="AK22" s="65"/>
      <c r="AL22" s="66"/>
      <c r="AM22" s="67"/>
      <c r="AN22" s="68"/>
      <c r="AO22" s="69">
        <v>1</v>
      </c>
      <c r="AP22" s="70"/>
      <c r="AQ22" s="67"/>
      <c r="AR22" s="71"/>
      <c r="AS22" s="68"/>
      <c r="AT22" s="72"/>
      <c r="AU22" s="73"/>
      <c r="AV22" s="65"/>
      <c r="AW22" s="66"/>
      <c r="AX22" s="67"/>
      <c r="AY22" s="68"/>
      <c r="AZ22" s="69">
        <v>1</v>
      </c>
      <c r="BA22" s="70"/>
      <c r="BB22" s="67"/>
      <c r="BC22" s="71"/>
      <c r="BD22" s="68"/>
      <c r="BE22" s="72"/>
      <c r="BF22" s="73"/>
      <c r="BG22" s="65"/>
      <c r="BH22" s="66"/>
      <c r="BI22" s="67">
        <v>1</v>
      </c>
      <c r="BJ22" s="68"/>
      <c r="BK22" s="69">
        <v>1</v>
      </c>
      <c r="BL22" s="70"/>
      <c r="BM22" s="67"/>
      <c r="BN22" s="71"/>
      <c r="BO22" s="68"/>
      <c r="BP22" s="72"/>
      <c r="BQ22" s="73"/>
      <c r="BR22" s="65"/>
      <c r="BS22" s="66"/>
      <c r="BT22" s="67"/>
      <c r="BU22" s="68">
        <v>1</v>
      </c>
      <c r="BV22" s="69"/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>
        <v>1</v>
      </c>
      <c r="E23" s="66"/>
      <c r="F23" s="67"/>
      <c r="G23" s="68"/>
      <c r="H23" s="69">
        <v>1</v>
      </c>
      <c r="I23" s="70"/>
      <c r="J23" s="67"/>
      <c r="K23" s="71"/>
      <c r="L23" s="68"/>
      <c r="M23" s="72"/>
      <c r="N23" s="73"/>
      <c r="O23" s="65"/>
      <c r="P23" s="66"/>
      <c r="Q23" s="67"/>
      <c r="R23" s="68">
        <v>1</v>
      </c>
      <c r="S23" s="69"/>
      <c r="T23" s="70"/>
      <c r="U23" s="67"/>
      <c r="V23" s="71"/>
      <c r="W23" s="68"/>
      <c r="X23" s="72"/>
      <c r="Y23" s="73"/>
      <c r="Z23" s="65"/>
      <c r="AA23" s="66"/>
      <c r="AB23" s="67"/>
      <c r="AC23" s="68">
        <v>1</v>
      </c>
      <c r="AD23" s="69">
        <v>1</v>
      </c>
      <c r="AE23" s="70"/>
      <c r="AF23" s="67"/>
      <c r="AG23" s="71"/>
      <c r="AH23" s="68"/>
      <c r="AI23" s="72"/>
      <c r="AJ23" s="73"/>
      <c r="AK23" s="65"/>
      <c r="AL23" s="66"/>
      <c r="AM23" s="67"/>
      <c r="AN23" s="68">
        <v>1</v>
      </c>
      <c r="AO23" s="69">
        <v>1</v>
      </c>
      <c r="AP23" s="70"/>
      <c r="AQ23" s="67"/>
      <c r="AR23" s="71"/>
      <c r="AS23" s="68"/>
      <c r="AT23" s="72"/>
      <c r="AU23" s="73"/>
      <c r="AV23" s="65"/>
      <c r="AW23" s="66"/>
      <c r="AX23" s="67"/>
      <c r="AY23" s="68">
        <v>1</v>
      </c>
      <c r="AZ23" s="69"/>
      <c r="BA23" s="70"/>
      <c r="BB23" s="67"/>
      <c r="BC23" s="71"/>
      <c r="BD23" s="68"/>
      <c r="BE23" s="72"/>
      <c r="BF23" s="73"/>
      <c r="BG23" s="65"/>
      <c r="BH23" s="66"/>
      <c r="BI23" s="67"/>
      <c r="BJ23" s="68"/>
      <c r="BK23" s="69">
        <v>1</v>
      </c>
      <c r="BL23" s="70"/>
      <c r="BM23" s="67"/>
      <c r="BN23" s="71"/>
      <c r="BO23" s="68"/>
      <c r="BP23" s="72"/>
      <c r="BQ23" s="73"/>
      <c r="BR23" s="65"/>
      <c r="BS23" s="66"/>
      <c r="BT23" s="67"/>
      <c r="BU23" s="68">
        <v>1</v>
      </c>
      <c r="BV23" s="69">
        <v>1</v>
      </c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/>
      <c r="E24" s="66"/>
      <c r="F24" s="67"/>
      <c r="G24" s="68"/>
      <c r="H24" s="69">
        <v>1</v>
      </c>
      <c r="I24" s="70"/>
      <c r="J24" s="67"/>
      <c r="K24" s="71"/>
      <c r="L24" s="68"/>
      <c r="M24" s="72"/>
      <c r="N24" s="73"/>
      <c r="O24" s="65"/>
      <c r="P24" s="66"/>
      <c r="Q24" s="67">
        <v>1</v>
      </c>
      <c r="R24" s="68">
        <v>1</v>
      </c>
      <c r="S24" s="69"/>
      <c r="T24" s="70"/>
      <c r="U24" s="67"/>
      <c r="V24" s="71"/>
      <c r="W24" s="68"/>
      <c r="X24" s="72"/>
      <c r="Y24" s="73"/>
      <c r="Z24" s="65"/>
      <c r="AA24" s="66"/>
      <c r="AB24" s="67"/>
      <c r="AC24" s="68">
        <v>1</v>
      </c>
      <c r="AD24" s="69">
        <v>1</v>
      </c>
      <c r="AE24" s="70"/>
      <c r="AF24" s="67"/>
      <c r="AG24" s="71"/>
      <c r="AH24" s="68"/>
      <c r="AI24" s="72"/>
      <c r="AJ24" s="73"/>
      <c r="AK24" s="65">
        <v>1</v>
      </c>
      <c r="AL24" s="66"/>
      <c r="AM24" s="67"/>
      <c r="AN24" s="68">
        <v>1</v>
      </c>
      <c r="AO24" s="69">
        <v>1</v>
      </c>
      <c r="AP24" s="70"/>
      <c r="AQ24" s="67"/>
      <c r="AR24" s="71"/>
      <c r="AS24" s="68"/>
      <c r="AT24" s="72"/>
      <c r="AU24" s="73"/>
      <c r="AV24" s="65"/>
      <c r="AW24" s="66"/>
      <c r="AX24" s="67">
        <v>1</v>
      </c>
      <c r="AY24" s="68">
        <v>1</v>
      </c>
      <c r="AZ24" s="69">
        <v>1</v>
      </c>
      <c r="BA24" s="70"/>
      <c r="BB24" s="67"/>
      <c r="BC24" s="71"/>
      <c r="BD24" s="68"/>
      <c r="BE24" s="72"/>
      <c r="BF24" s="73"/>
      <c r="BG24" s="65">
        <v>1</v>
      </c>
      <c r="BH24" s="66">
        <v>0.5</v>
      </c>
      <c r="BI24" s="67"/>
      <c r="BJ24" s="68">
        <v>1</v>
      </c>
      <c r="BK24" s="69"/>
      <c r="BL24" s="70"/>
      <c r="BM24" s="67"/>
      <c r="BN24" s="71"/>
      <c r="BO24" s="68"/>
      <c r="BP24" s="72"/>
      <c r="BQ24" s="73"/>
      <c r="BR24" s="65"/>
      <c r="BS24" s="66"/>
      <c r="BT24" s="67"/>
      <c r="BU24" s="68">
        <v>1</v>
      </c>
      <c r="BV24" s="69">
        <v>1</v>
      </c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>
        <v>1</v>
      </c>
      <c r="E25" s="66"/>
      <c r="F25" s="67"/>
      <c r="G25" s="68"/>
      <c r="H25" s="69">
        <v>1</v>
      </c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>
        <v>1</v>
      </c>
      <c r="S25" s="69"/>
      <c r="T25" s="70"/>
      <c r="U25" s="67"/>
      <c r="V25" s="71"/>
      <c r="W25" s="68"/>
      <c r="X25" s="72"/>
      <c r="Y25" s="73"/>
      <c r="Z25" s="65">
        <v>1</v>
      </c>
      <c r="AA25" s="66"/>
      <c r="AB25" s="67"/>
      <c r="AC25" s="68"/>
      <c r="AD25" s="69">
        <v>1</v>
      </c>
      <c r="AE25" s="70"/>
      <c r="AF25" s="67"/>
      <c r="AG25" s="71"/>
      <c r="AH25" s="68"/>
      <c r="AI25" s="72"/>
      <c r="AJ25" s="73"/>
      <c r="AK25" s="65">
        <v>1</v>
      </c>
      <c r="AL25" s="66"/>
      <c r="AM25" s="67"/>
      <c r="AN25" s="68">
        <v>1</v>
      </c>
      <c r="AO25" s="69"/>
      <c r="AP25" s="70"/>
      <c r="AQ25" s="67"/>
      <c r="AR25" s="71"/>
      <c r="AS25" s="68"/>
      <c r="AT25" s="72"/>
      <c r="AU25" s="73"/>
      <c r="AV25" s="65"/>
      <c r="AW25" s="66"/>
      <c r="AX25" s="67">
        <v>1</v>
      </c>
      <c r="AY25" s="68">
        <v>1</v>
      </c>
      <c r="AZ25" s="69">
        <v>1</v>
      </c>
      <c r="BA25" s="70"/>
      <c r="BB25" s="67"/>
      <c r="BC25" s="71"/>
      <c r="BD25" s="68"/>
      <c r="BE25" s="72"/>
      <c r="BF25" s="73"/>
      <c r="BG25" s="65">
        <v>1</v>
      </c>
      <c r="BH25" s="66">
        <v>1</v>
      </c>
      <c r="BI25" s="67"/>
      <c r="BJ25" s="68">
        <v>1</v>
      </c>
      <c r="BK25" s="69"/>
      <c r="BL25" s="70"/>
      <c r="BM25" s="67"/>
      <c r="BN25" s="71"/>
      <c r="BO25" s="68"/>
      <c r="BP25" s="72"/>
      <c r="BQ25" s="73"/>
      <c r="BR25" s="65"/>
      <c r="BS25" s="66"/>
      <c r="BT25" s="67">
        <v>1</v>
      </c>
      <c r="BU25" s="68">
        <v>1</v>
      </c>
      <c r="BV25" s="69">
        <v>1</v>
      </c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>
        <v>1</v>
      </c>
      <c r="E26" s="66"/>
      <c r="F26" s="67"/>
      <c r="G26" s="68"/>
      <c r="H26" s="69">
        <v>1</v>
      </c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>
        <v>1</v>
      </c>
      <c r="S26" s="69"/>
      <c r="T26" s="70"/>
      <c r="U26" s="67"/>
      <c r="V26" s="71"/>
      <c r="W26" s="68"/>
      <c r="X26" s="72"/>
      <c r="Y26" s="73"/>
      <c r="Z26" s="65">
        <v>1</v>
      </c>
      <c r="AA26" s="66"/>
      <c r="AB26" s="67"/>
      <c r="AC26" s="68"/>
      <c r="AD26" s="69">
        <v>1</v>
      </c>
      <c r="AE26" s="70"/>
      <c r="AF26" s="67"/>
      <c r="AG26" s="71"/>
      <c r="AH26" s="68"/>
      <c r="AI26" s="72"/>
      <c r="AJ26" s="73"/>
      <c r="AK26" s="65">
        <v>1</v>
      </c>
      <c r="AL26" s="66"/>
      <c r="AM26" s="67"/>
      <c r="AN26" s="68">
        <v>1</v>
      </c>
      <c r="AO26" s="69"/>
      <c r="AP26" s="70"/>
      <c r="AQ26" s="67"/>
      <c r="AR26" s="71"/>
      <c r="AS26" s="68"/>
      <c r="AT26" s="72"/>
      <c r="AU26" s="73"/>
      <c r="AV26" s="65"/>
      <c r="AW26" s="66"/>
      <c r="AX26" s="67">
        <v>1</v>
      </c>
      <c r="AY26" s="68">
        <v>1</v>
      </c>
      <c r="AZ26" s="69">
        <v>1</v>
      </c>
      <c r="BA26" s="70"/>
      <c r="BB26" s="67"/>
      <c r="BC26" s="71"/>
      <c r="BD26" s="68"/>
      <c r="BE26" s="72"/>
      <c r="BF26" s="73"/>
      <c r="BG26" s="65">
        <v>1</v>
      </c>
      <c r="BH26" s="66">
        <v>1</v>
      </c>
      <c r="BI26" s="67"/>
      <c r="BJ26" s="68">
        <v>1</v>
      </c>
      <c r="BK26" s="69"/>
      <c r="BL26" s="70"/>
      <c r="BM26" s="67"/>
      <c r="BN26" s="71"/>
      <c r="BO26" s="68"/>
      <c r="BP26" s="72"/>
      <c r="BQ26" s="73"/>
      <c r="BR26" s="65"/>
      <c r="BS26" s="66"/>
      <c r="BT26" s="67">
        <v>1</v>
      </c>
      <c r="BU26" s="68">
        <v>1</v>
      </c>
      <c r="BV26" s="69">
        <v>1</v>
      </c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>
        <v>1</v>
      </c>
      <c r="E27" s="66"/>
      <c r="F27" s="67"/>
      <c r="G27" s="68"/>
      <c r="H27" s="69">
        <v>1</v>
      </c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>
        <v>1</v>
      </c>
      <c r="S27" s="69"/>
      <c r="T27" s="70"/>
      <c r="U27" s="67"/>
      <c r="V27" s="71"/>
      <c r="W27" s="68"/>
      <c r="X27" s="72"/>
      <c r="Y27" s="73"/>
      <c r="Z27" s="65">
        <v>1</v>
      </c>
      <c r="AA27" s="66"/>
      <c r="AB27" s="67"/>
      <c r="AC27" s="68"/>
      <c r="AD27" s="69">
        <v>1</v>
      </c>
      <c r="AE27" s="70"/>
      <c r="AF27" s="67"/>
      <c r="AG27" s="71"/>
      <c r="AH27" s="68"/>
      <c r="AI27" s="72"/>
      <c r="AJ27" s="73"/>
      <c r="AK27" s="65">
        <v>1</v>
      </c>
      <c r="AL27" s="66"/>
      <c r="AM27" s="67"/>
      <c r="AN27" s="68">
        <v>1</v>
      </c>
      <c r="AO27" s="69"/>
      <c r="AP27" s="70"/>
      <c r="AQ27" s="67"/>
      <c r="AR27" s="71"/>
      <c r="AS27" s="68"/>
      <c r="AT27" s="72"/>
      <c r="AU27" s="73"/>
      <c r="AV27" s="65"/>
      <c r="AW27" s="66"/>
      <c r="AX27" s="67">
        <v>1</v>
      </c>
      <c r="AY27" s="68"/>
      <c r="AZ27" s="69">
        <v>1</v>
      </c>
      <c r="BA27" s="70"/>
      <c r="BB27" s="67"/>
      <c r="BC27" s="71"/>
      <c r="BD27" s="68"/>
      <c r="BE27" s="72"/>
      <c r="BF27" s="73"/>
      <c r="BG27" s="65">
        <v>1</v>
      </c>
      <c r="BH27" s="66">
        <v>1</v>
      </c>
      <c r="BI27" s="67"/>
      <c r="BJ27" s="68">
        <v>1</v>
      </c>
      <c r="BK27" s="69"/>
      <c r="BL27" s="70"/>
      <c r="BM27" s="67"/>
      <c r="BN27" s="71"/>
      <c r="BO27" s="68"/>
      <c r="BP27" s="72"/>
      <c r="BQ27" s="73"/>
      <c r="BR27" s="65"/>
      <c r="BS27" s="66"/>
      <c r="BT27" s="67">
        <v>1</v>
      </c>
      <c r="BU27" s="68">
        <v>1</v>
      </c>
      <c r="BV27" s="69">
        <v>1</v>
      </c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>
        <v>1</v>
      </c>
      <c r="E28" s="66"/>
      <c r="F28" s="67"/>
      <c r="G28" s="68"/>
      <c r="H28" s="69">
        <v>1</v>
      </c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>
        <v>1</v>
      </c>
      <c r="S28" s="69"/>
      <c r="T28" s="70"/>
      <c r="U28" s="67"/>
      <c r="V28" s="71"/>
      <c r="W28" s="68"/>
      <c r="X28" s="72"/>
      <c r="Y28" s="73"/>
      <c r="Z28" s="65">
        <v>1</v>
      </c>
      <c r="AA28" s="66"/>
      <c r="AB28" s="67"/>
      <c r="AC28" s="68"/>
      <c r="AD28" s="69">
        <v>1</v>
      </c>
      <c r="AE28" s="70"/>
      <c r="AF28" s="67"/>
      <c r="AG28" s="71"/>
      <c r="AH28" s="68"/>
      <c r="AI28" s="72"/>
      <c r="AJ28" s="73"/>
      <c r="AK28" s="65">
        <v>1</v>
      </c>
      <c r="AL28" s="66"/>
      <c r="AM28" s="67"/>
      <c r="AN28" s="68">
        <v>1</v>
      </c>
      <c r="AO28" s="71"/>
      <c r="AP28" s="71"/>
      <c r="AQ28" s="71"/>
      <c r="AR28" s="71"/>
      <c r="AS28" s="68"/>
      <c r="AT28" s="72"/>
      <c r="AU28" s="73"/>
      <c r="AV28" s="65"/>
      <c r="AW28" s="66"/>
      <c r="AX28" s="67">
        <v>1</v>
      </c>
      <c r="AY28" s="68"/>
      <c r="AZ28" s="69">
        <v>1</v>
      </c>
      <c r="BA28" s="70"/>
      <c r="BB28" s="67"/>
      <c r="BC28" s="71"/>
      <c r="BD28" s="68"/>
      <c r="BE28" s="72"/>
      <c r="BF28" s="73"/>
      <c r="BG28" s="65">
        <v>1</v>
      </c>
      <c r="BH28" s="66">
        <v>1</v>
      </c>
      <c r="BI28" s="67"/>
      <c r="BJ28" s="68">
        <v>1</v>
      </c>
      <c r="BK28" s="69"/>
      <c r="BL28" s="70"/>
      <c r="BM28" s="67"/>
      <c r="BN28" s="71"/>
      <c r="BO28" s="68"/>
      <c r="BP28" s="72"/>
      <c r="BQ28" s="73"/>
      <c r="BR28" s="65"/>
      <c r="BS28" s="66"/>
      <c r="BT28" s="67">
        <v>1</v>
      </c>
      <c r="BU28" s="68">
        <v>1</v>
      </c>
      <c r="BV28" s="69">
        <v>1</v>
      </c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08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09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10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11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12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13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14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SOFIA</v>
      </c>
      <c r="E33" s="31" t="str">
        <f t="shared" si="0"/>
        <v>ANAHY</v>
      </c>
      <c r="F33" s="32" t="str">
        <f t="shared" si="0"/>
        <v>MICHAEL</v>
      </c>
      <c r="G33" s="33" t="str">
        <f t="shared" si="0"/>
        <v>LINDSAY</v>
      </c>
      <c r="H33" s="34" t="str">
        <f t="shared" si="0"/>
        <v>MILA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SOFIA</v>
      </c>
      <c r="P33" s="31" t="str">
        <f t="shared" si="1"/>
        <v>ANAHY</v>
      </c>
      <c r="Q33" s="32" t="str">
        <f t="shared" si="1"/>
        <v>MICHAEL</v>
      </c>
      <c r="R33" s="33" t="str">
        <f t="shared" si="1"/>
        <v>LINDSAY</v>
      </c>
      <c r="S33" s="34" t="str">
        <f t="shared" si="1"/>
        <v>MILA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SOFIA</v>
      </c>
      <c r="AA33" s="31" t="str">
        <f t="shared" si="2"/>
        <v>ANAHY</v>
      </c>
      <c r="AB33" s="32" t="str">
        <f t="shared" si="2"/>
        <v>MICHAEL</v>
      </c>
      <c r="AC33" s="33" t="str">
        <f t="shared" si="2"/>
        <v>LINDSAY</v>
      </c>
      <c r="AD33" s="34" t="str">
        <f t="shared" si="2"/>
        <v>MILA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SOFIA</v>
      </c>
      <c r="AL33" s="31" t="str">
        <f t="shared" si="3"/>
        <v>ANAHY</v>
      </c>
      <c r="AM33" s="32" t="str">
        <f t="shared" si="3"/>
        <v>MICHAEL</v>
      </c>
      <c r="AN33" s="33" t="str">
        <f t="shared" si="3"/>
        <v>LINDSAY</v>
      </c>
      <c r="AO33" s="34" t="str">
        <f t="shared" si="3"/>
        <v>MILA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SOFIA</v>
      </c>
      <c r="AW33" s="31" t="str">
        <f t="shared" si="4"/>
        <v>ANAHY</v>
      </c>
      <c r="AX33" s="32" t="str">
        <f t="shared" si="4"/>
        <v>MICHAEL</v>
      </c>
      <c r="AY33" s="33" t="str">
        <f t="shared" si="4"/>
        <v>LINDSAY</v>
      </c>
      <c r="AZ33" s="34" t="str">
        <f t="shared" si="4"/>
        <v>MILA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SOFIA</v>
      </c>
      <c r="BH33" s="31" t="str">
        <f t="shared" si="5"/>
        <v>ANAHY</v>
      </c>
      <c r="BI33" s="32" t="str">
        <f t="shared" si="5"/>
        <v>MICHAEL</v>
      </c>
      <c r="BJ33" s="33" t="str">
        <f t="shared" si="5"/>
        <v>LINDSAY</v>
      </c>
      <c r="BK33" s="34" t="str">
        <f t="shared" si="5"/>
        <v>MILA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SOFIA</v>
      </c>
      <c r="BS33" s="31" t="str">
        <f t="shared" si="6"/>
        <v>ANAHY</v>
      </c>
      <c r="BT33" s="32" t="str">
        <f t="shared" si="6"/>
        <v>MICHAEL</v>
      </c>
      <c r="BU33" s="33" t="str">
        <f t="shared" si="6"/>
        <v>LINDSAY</v>
      </c>
      <c r="BV33" s="34" t="str">
        <f t="shared" si="6"/>
        <v>MILA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6.5</v>
      </c>
      <c r="E34" s="48">
        <f t="shared" ref="E34:M34" si="7">SUM(E7:E30)</f>
        <v>5.5</v>
      </c>
      <c r="F34" s="49">
        <f t="shared" si="7"/>
        <v>1.5</v>
      </c>
      <c r="G34" s="50">
        <f t="shared" si="7"/>
        <v>1.5</v>
      </c>
      <c r="H34" s="51">
        <f t="shared" si="7"/>
        <v>11</v>
      </c>
      <c r="I34" s="52">
        <f t="shared" si="7"/>
        <v>0.5</v>
      </c>
      <c r="J34" s="49">
        <f t="shared" si="7"/>
        <v>0.5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1.5</v>
      </c>
      <c r="P34" s="48">
        <f t="shared" si="8"/>
        <v>5.5</v>
      </c>
      <c r="Q34" s="49">
        <f t="shared" si="8"/>
        <v>6.5</v>
      </c>
      <c r="R34" s="50">
        <f t="shared" si="8"/>
        <v>9.5</v>
      </c>
      <c r="S34" s="51">
        <f t="shared" si="8"/>
        <v>1.5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4</v>
      </c>
      <c r="AA34" s="48">
        <f t="shared" si="9"/>
        <v>0</v>
      </c>
      <c r="AB34" s="49">
        <f t="shared" si="9"/>
        <v>0</v>
      </c>
      <c r="AC34" s="50">
        <f t="shared" si="9"/>
        <v>8.5</v>
      </c>
      <c r="AD34" s="51">
        <f t="shared" si="9"/>
        <v>8.5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5</v>
      </c>
      <c r="AL34" s="48">
        <f t="shared" si="10"/>
        <v>0</v>
      </c>
      <c r="AM34" s="49">
        <f t="shared" si="10"/>
        <v>0</v>
      </c>
      <c r="AN34" s="50">
        <f t="shared" si="10"/>
        <v>7</v>
      </c>
      <c r="AO34" s="51">
        <f t="shared" si="10"/>
        <v>7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0</v>
      </c>
      <c r="AW34" s="48">
        <f t="shared" si="11"/>
        <v>4</v>
      </c>
      <c r="AX34" s="49">
        <f t="shared" si="11"/>
        <v>5</v>
      </c>
      <c r="AY34" s="50">
        <f t="shared" si="11"/>
        <v>7.5</v>
      </c>
      <c r="AZ34" s="51">
        <f t="shared" si="11"/>
        <v>6</v>
      </c>
      <c r="BA34" s="52">
        <f t="shared" si="11"/>
        <v>0.5</v>
      </c>
      <c r="BB34" s="49">
        <f t="shared" si="11"/>
        <v>0.5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6.5</v>
      </c>
      <c r="BH34" s="48">
        <f t="shared" si="12"/>
        <v>6</v>
      </c>
      <c r="BI34" s="49">
        <f t="shared" si="12"/>
        <v>6.5</v>
      </c>
      <c r="BJ34" s="50">
        <f t="shared" si="12"/>
        <v>6.5</v>
      </c>
      <c r="BK34" s="51">
        <f t="shared" si="12"/>
        <v>7.5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0</v>
      </c>
      <c r="BS34" s="48">
        <f t="shared" si="13"/>
        <v>3.5</v>
      </c>
      <c r="BT34" s="49">
        <f t="shared" si="13"/>
        <v>4</v>
      </c>
      <c r="BU34" s="50">
        <f t="shared" si="13"/>
        <v>7.5</v>
      </c>
      <c r="BV34" s="51">
        <f t="shared" si="13"/>
        <v>6.5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42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23.5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36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24.5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37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23.5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48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39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48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1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1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  <mergeCell ref="B41:J41"/>
    <mergeCell ref="L41:N41"/>
    <mergeCell ref="B42:J42"/>
    <mergeCell ref="L42:N42"/>
    <mergeCell ref="B43:J43"/>
    <mergeCell ref="L43:N43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</mergeCells>
  <conditionalFormatting sqref="D7:M14 D29:M30">
    <cfRule type="expression" dxfId="174" priority="14">
      <formula>IF(OR(D7=0,D7=""),TRUE(),FALSE())</formula>
    </cfRule>
  </conditionalFormatting>
  <conditionalFormatting sqref="D15:M28">
    <cfRule type="expression" dxfId="173" priority="13">
      <formula>IF(OR(D15=0,D15=""),TRUE(),FALSE())</formula>
    </cfRule>
  </conditionalFormatting>
  <conditionalFormatting sqref="O7:X14 O29:X30">
    <cfRule type="expression" dxfId="172" priority="12">
      <formula>IF(OR(O7=0,O7=""),TRUE(),FALSE())</formula>
    </cfRule>
  </conditionalFormatting>
  <conditionalFormatting sqref="O15:X28">
    <cfRule type="expression" dxfId="171" priority="11">
      <formula>IF(OR(O15=0,O15=""),TRUE(),FALSE())</formula>
    </cfRule>
  </conditionalFormatting>
  <conditionalFormatting sqref="Z7:AI14 Z29:AI30">
    <cfRule type="expression" dxfId="170" priority="10">
      <formula>IF(OR(Z7=0,Z7=""),TRUE(),FALSE())</formula>
    </cfRule>
  </conditionalFormatting>
  <conditionalFormatting sqref="Z15:AI28">
    <cfRule type="expression" dxfId="169" priority="9">
      <formula>IF(OR(Z15=0,Z15=""),TRUE(),FALSE())</formula>
    </cfRule>
  </conditionalFormatting>
  <conditionalFormatting sqref="AK7:AT14 AK29:AT30">
    <cfRule type="expression" dxfId="168" priority="8">
      <formula>IF(OR(AK7=0,AK7=""),TRUE(),FALSE())</formula>
    </cfRule>
  </conditionalFormatting>
  <conditionalFormatting sqref="AK15:AT28">
    <cfRule type="expression" dxfId="167" priority="7">
      <formula>IF(OR(AK15=0,AK15=""),TRUE(),FALSE())</formula>
    </cfRule>
  </conditionalFormatting>
  <conditionalFormatting sqref="AV7:BE14 AV29:BE30">
    <cfRule type="expression" dxfId="166" priority="6">
      <formula>IF(OR(AV7=0,AV7=""),TRUE(),FALSE())</formula>
    </cfRule>
  </conditionalFormatting>
  <conditionalFormatting sqref="AV15:BE28">
    <cfRule type="expression" dxfId="165" priority="5">
      <formula>IF(OR(AV15=0,AV15=""),TRUE(),FALSE())</formula>
    </cfRule>
  </conditionalFormatting>
  <conditionalFormatting sqref="BG7:BP14 BG29:BP30">
    <cfRule type="expression" dxfId="164" priority="4">
      <formula>IF(OR(BG7=0,BG7=""),TRUE(),FALSE())</formula>
    </cfRule>
  </conditionalFormatting>
  <conditionalFormatting sqref="BG15:BP28">
    <cfRule type="expression" dxfId="163" priority="3">
      <formula>IF(OR(BG15=0,BG15=""),TRUE(),FALSE())</formula>
    </cfRule>
  </conditionalFormatting>
  <conditionalFormatting sqref="BR7:CA14 BR29:CA30">
    <cfRule type="expression" dxfId="162" priority="2">
      <formula>IF(OR(BR7=0,BR7=""),TRUE(),FALSE())</formula>
    </cfRule>
  </conditionalFormatting>
  <conditionalFormatting sqref="BR15:CA28">
    <cfRule type="expression" dxfId="161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6EAC1870-29DF-42D7-93A1-18763FF4DC21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5D0AF-9C1E-4390-9258-6FFA49A64D3C}">
  <sheetPr codeName="Hoja18"/>
  <dimension ref="A1:CA48"/>
  <sheetViews>
    <sheetView showGridLines="0" topLeftCell="A3" zoomScale="80" zoomScaleNormal="80" workbookViewId="0">
      <selection activeCell="AN21" sqref="AN21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15 DE MARZO AL 21 DE MARZO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46096</v>
      </c>
      <c r="D5" s="63" t="str">
        <f>CONCATENATE("Lunes ",TEXT(DAY(C5),"00"))</f>
        <v>Lunes 15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16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17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18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19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20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21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41</v>
      </c>
      <c r="E6" s="9" t="s">
        <v>33</v>
      </c>
      <c r="F6" s="10" t="s">
        <v>31</v>
      </c>
      <c r="G6" s="11" t="s">
        <v>21</v>
      </c>
      <c r="H6" s="12" t="s">
        <v>13</v>
      </c>
      <c r="I6" s="13"/>
      <c r="J6" s="10"/>
      <c r="K6" s="14"/>
      <c r="L6" s="11"/>
      <c r="M6" s="15"/>
      <c r="O6" s="8" t="str">
        <f>D6</f>
        <v>SOFIA</v>
      </c>
      <c r="P6" s="9" t="str">
        <f>E6</f>
        <v>ANAHY</v>
      </c>
      <c r="Q6" s="10" t="str">
        <f>F6</f>
        <v>MICHAEL</v>
      </c>
      <c r="R6" s="11" t="str">
        <f>G6</f>
        <v>LINDSAY</v>
      </c>
      <c r="S6" s="12" t="str">
        <f>H6</f>
        <v>MILA</v>
      </c>
      <c r="T6" s="13"/>
      <c r="U6" s="10"/>
      <c r="V6" s="14"/>
      <c r="W6" s="11"/>
      <c r="X6" s="15"/>
      <c r="Z6" s="8" t="str">
        <f>O6</f>
        <v>SOFIA</v>
      </c>
      <c r="AA6" s="9" t="s">
        <v>33</v>
      </c>
      <c r="AB6" s="10" t="str">
        <f>Q6</f>
        <v>MICHAEL</v>
      </c>
      <c r="AC6" s="11" t="str">
        <f>R6</f>
        <v>LINDSAY</v>
      </c>
      <c r="AD6" s="12" t="str">
        <f>H6</f>
        <v>MILA</v>
      </c>
      <c r="AE6" s="13"/>
      <c r="AF6" s="10"/>
      <c r="AG6" s="14"/>
      <c r="AH6" s="11"/>
      <c r="AI6" s="15"/>
      <c r="AK6" s="8" t="str">
        <f>Z6</f>
        <v>SOFIA</v>
      </c>
      <c r="AL6" s="9" t="str">
        <f>AA6</f>
        <v>ANAHY</v>
      </c>
      <c r="AM6" s="10" t="str">
        <f>Q6</f>
        <v>MICHAEL</v>
      </c>
      <c r="AN6" s="11" t="str">
        <f>AC6</f>
        <v>LINDSAY</v>
      </c>
      <c r="AO6" s="12" t="str">
        <f>H6</f>
        <v>MILA</v>
      </c>
      <c r="AP6" s="13"/>
      <c r="AQ6" s="10"/>
      <c r="AR6" s="14"/>
      <c r="AS6" s="11"/>
      <c r="AT6" s="15"/>
      <c r="AV6" s="8" t="str">
        <f>AK6</f>
        <v>SOFIA</v>
      </c>
      <c r="AW6" s="9" t="s">
        <v>33</v>
      </c>
      <c r="AX6" s="10" t="str">
        <f>AB6</f>
        <v>MICHAEL</v>
      </c>
      <c r="AY6" s="11" t="str">
        <f>AN6</f>
        <v>LINDSAY</v>
      </c>
      <c r="AZ6" s="12" t="str">
        <f>H6</f>
        <v>MILA</v>
      </c>
      <c r="BA6" s="13"/>
      <c r="BB6" s="10"/>
      <c r="BC6" s="14"/>
      <c r="BD6" s="11"/>
      <c r="BE6" s="15"/>
      <c r="BG6" s="8" t="str">
        <f>AV6</f>
        <v>SOFIA</v>
      </c>
      <c r="BH6" s="9" t="s">
        <v>33</v>
      </c>
      <c r="BI6" s="10" t="str">
        <f>AX6</f>
        <v>MICHAEL</v>
      </c>
      <c r="BJ6" s="11" t="str">
        <f>AC6</f>
        <v>LINDSAY</v>
      </c>
      <c r="BK6" s="12" t="str">
        <f>S6</f>
        <v>MILA</v>
      </c>
      <c r="BL6" s="13"/>
      <c r="BM6" s="10"/>
      <c r="BN6" s="14"/>
      <c r="BO6" s="11"/>
      <c r="BP6" s="15"/>
      <c r="BR6" s="8" t="str">
        <f>AV6</f>
        <v>SOFIA</v>
      </c>
      <c r="BS6" s="9" t="str">
        <f>BH6</f>
        <v>ANAHY</v>
      </c>
      <c r="BT6" s="10" t="str">
        <f>AX6</f>
        <v>MICHAEL</v>
      </c>
      <c r="BU6" s="11" t="str">
        <f>BJ6</f>
        <v>LINDSAY</v>
      </c>
      <c r="BV6" s="12" t="s">
        <v>13</v>
      </c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>
        <v>0.5</v>
      </c>
      <c r="BB14" s="18">
        <v>0.5</v>
      </c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>
        <v>1</v>
      </c>
      <c r="H15" s="69">
        <v>1</v>
      </c>
      <c r="I15" s="70"/>
      <c r="J15" s="67"/>
      <c r="K15" s="71"/>
      <c r="L15" s="68"/>
      <c r="M15" s="72"/>
      <c r="N15" s="73"/>
      <c r="O15" s="65"/>
      <c r="P15" s="66"/>
      <c r="Q15" s="67"/>
      <c r="R15" s="68">
        <v>1</v>
      </c>
      <c r="S15" s="69">
        <v>1</v>
      </c>
      <c r="T15" s="70"/>
      <c r="U15" s="67"/>
      <c r="V15" s="71"/>
      <c r="W15" s="68"/>
      <c r="X15" s="72"/>
      <c r="Y15" s="73"/>
      <c r="Z15" s="65"/>
      <c r="AA15" s="66"/>
      <c r="AB15" s="67"/>
      <c r="AC15" s="68">
        <v>1</v>
      </c>
      <c r="AD15" s="69">
        <v>1</v>
      </c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>
        <v>1</v>
      </c>
      <c r="AW15" s="66">
        <v>1</v>
      </c>
      <c r="AX15" s="67">
        <v>1</v>
      </c>
      <c r="AY15" s="68">
        <v>1</v>
      </c>
      <c r="AZ15" s="69">
        <v>1</v>
      </c>
      <c r="BA15" s="70"/>
      <c r="BB15" s="67"/>
      <c r="BC15" s="71"/>
      <c r="BD15" s="68"/>
      <c r="BE15" s="72"/>
      <c r="BF15" s="73"/>
      <c r="BG15" s="65">
        <v>1</v>
      </c>
      <c r="BH15" s="66">
        <v>1</v>
      </c>
      <c r="BI15" s="67">
        <v>1</v>
      </c>
      <c r="BJ15" s="68">
        <v>1</v>
      </c>
      <c r="BK15" s="69">
        <v>1</v>
      </c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/>
      <c r="F16" s="67"/>
      <c r="G16" s="68">
        <v>0.5</v>
      </c>
      <c r="H16" s="69">
        <v>0.5</v>
      </c>
      <c r="I16" s="70">
        <v>0.5</v>
      </c>
      <c r="J16" s="67">
        <v>0.5</v>
      </c>
      <c r="K16" s="71"/>
      <c r="L16" s="68"/>
      <c r="M16" s="72"/>
      <c r="N16" s="73"/>
      <c r="O16" s="65"/>
      <c r="P16" s="66"/>
      <c r="Q16" s="67"/>
      <c r="R16" s="68">
        <v>0.5</v>
      </c>
      <c r="S16" s="69">
        <v>0.5</v>
      </c>
      <c r="T16" s="70"/>
      <c r="U16" s="67"/>
      <c r="V16" s="71"/>
      <c r="W16" s="68"/>
      <c r="X16" s="72"/>
      <c r="Y16" s="73"/>
      <c r="Z16" s="65"/>
      <c r="AA16" s="66"/>
      <c r="AB16" s="67"/>
      <c r="AC16" s="68">
        <v>0.5</v>
      </c>
      <c r="AD16" s="69">
        <v>0.5</v>
      </c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>
        <v>0.5</v>
      </c>
      <c r="AW16" s="66">
        <v>0.5</v>
      </c>
      <c r="AX16" s="67">
        <v>0.5</v>
      </c>
      <c r="AY16" s="68">
        <v>0.5</v>
      </c>
      <c r="AZ16" s="69">
        <v>0.5</v>
      </c>
      <c r="BA16" s="70"/>
      <c r="BB16" s="67"/>
      <c r="BC16" s="71"/>
      <c r="BD16" s="68"/>
      <c r="BE16" s="72"/>
      <c r="BF16" s="73"/>
      <c r="BG16" s="65">
        <v>0.5</v>
      </c>
      <c r="BH16" s="66">
        <v>0.5</v>
      </c>
      <c r="BI16" s="67">
        <v>0.5</v>
      </c>
      <c r="BJ16" s="68">
        <v>0.5</v>
      </c>
      <c r="BK16" s="69">
        <v>0.5</v>
      </c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>
        <v>1</v>
      </c>
      <c r="F17" s="67"/>
      <c r="G17" s="68"/>
      <c r="H17" s="69"/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/>
      <c r="S17" s="69"/>
      <c r="T17" s="70"/>
      <c r="U17" s="67"/>
      <c r="V17" s="71"/>
      <c r="W17" s="68"/>
      <c r="X17" s="72"/>
      <c r="Y17" s="73"/>
      <c r="Z17" s="65"/>
      <c r="AA17" s="66"/>
      <c r="AB17" s="67"/>
      <c r="AC17" s="68">
        <v>1</v>
      </c>
      <c r="AD17" s="69"/>
      <c r="AE17" s="70"/>
      <c r="AF17" s="67"/>
      <c r="AG17" s="71"/>
      <c r="AH17" s="68"/>
      <c r="AI17" s="72"/>
      <c r="AJ17" s="73"/>
      <c r="AK17" s="65"/>
      <c r="AL17" s="66"/>
      <c r="AM17" s="67"/>
      <c r="AN17" s="68"/>
      <c r="AO17" s="69">
        <v>1</v>
      </c>
      <c r="AP17" s="70"/>
      <c r="AQ17" s="67"/>
      <c r="AR17" s="71"/>
      <c r="AS17" s="68"/>
      <c r="AT17" s="72"/>
      <c r="AU17" s="73"/>
      <c r="AV17" s="65"/>
      <c r="AW17" s="66">
        <v>1</v>
      </c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/>
      <c r="BI17" s="67">
        <v>1</v>
      </c>
      <c r="BJ17" s="68"/>
      <c r="BK17" s="69">
        <v>1</v>
      </c>
      <c r="BL17" s="70"/>
      <c r="BM17" s="67"/>
      <c r="BN17" s="71"/>
      <c r="BO17" s="68"/>
      <c r="BP17" s="72"/>
      <c r="BQ17" s="73"/>
      <c r="BR17" s="65"/>
      <c r="BS17" s="66">
        <v>1</v>
      </c>
      <c r="BT17" s="67"/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>
        <v>1</v>
      </c>
      <c r="F18" s="67"/>
      <c r="G18" s="68"/>
      <c r="H18" s="69"/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/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>
        <v>1</v>
      </c>
      <c r="AD18" s="69"/>
      <c r="AE18" s="70"/>
      <c r="AF18" s="67"/>
      <c r="AG18" s="71"/>
      <c r="AH18" s="68"/>
      <c r="AI18" s="72"/>
      <c r="AJ18" s="73"/>
      <c r="AK18" s="65"/>
      <c r="AL18" s="66"/>
      <c r="AM18" s="67"/>
      <c r="AN18" s="68"/>
      <c r="AO18" s="69">
        <v>1</v>
      </c>
      <c r="AP18" s="70"/>
      <c r="AQ18" s="67"/>
      <c r="AR18" s="71"/>
      <c r="AS18" s="68"/>
      <c r="AT18" s="72"/>
      <c r="AU18" s="73"/>
      <c r="AV18" s="65"/>
      <c r="AW18" s="66">
        <v>1</v>
      </c>
      <c r="AX18" s="67"/>
      <c r="AY18" s="68">
        <v>0.5</v>
      </c>
      <c r="AZ18" s="69"/>
      <c r="BA18" s="70"/>
      <c r="BB18" s="67"/>
      <c r="BC18" s="71"/>
      <c r="BD18" s="68"/>
      <c r="BE18" s="72"/>
      <c r="BF18" s="73"/>
      <c r="BG18" s="65"/>
      <c r="BH18" s="66"/>
      <c r="BI18" s="67">
        <v>1</v>
      </c>
      <c r="BJ18" s="68"/>
      <c r="BK18" s="69">
        <v>1</v>
      </c>
      <c r="BL18" s="70"/>
      <c r="BM18" s="67"/>
      <c r="BN18" s="71"/>
      <c r="BO18" s="68"/>
      <c r="BP18" s="72"/>
      <c r="BQ18" s="73"/>
      <c r="BR18" s="65"/>
      <c r="BS18" s="66">
        <v>1</v>
      </c>
      <c r="BT18" s="67"/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>
        <v>1</v>
      </c>
      <c r="F19" s="67"/>
      <c r="G19" s="68"/>
      <c r="H19" s="69">
        <v>0.5</v>
      </c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/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>
        <v>1</v>
      </c>
      <c r="AD19" s="69"/>
      <c r="AE19" s="70"/>
      <c r="AF19" s="67"/>
      <c r="AG19" s="71"/>
      <c r="AH19" s="68"/>
      <c r="AI19" s="72"/>
      <c r="AJ19" s="73"/>
      <c r="AK19" s="65"/>
      <c r="AL19" s="66"/>
      <c r="AM19" s="67"/>
      <c r="AN19" s="68"/>
      <c r="AO19" s="69">
        <v>1</v>
      </c>
      <c r="AP19" s="70"/>
      <c r="AQ19" s="67"/>
      <c r="AR19" s="71"/>
      <c r="AS19" s="68"/>
      <c r="AT19" s="72"/>
      <c r="AU19" s="73"/>
      <c r="AV19" s="65"/>
      <c r="AW19" s="66">
        <v>1</v>
      </c>
      <c r="AX19" s="67"/>
      <c r="AY19" s="68">
        <v>1</v>
      </c>
      <c r="AZ19" s="69"/>
      <c r="BA19" s="70"/>
      <c r="BB19" s="67"/>
      <c r="BC19" s="71"/>
      <c r="BD19" s="68"/>
      <c r="BE19" s="72"/>
      <c r="BF19" s="73"/>
      <c r="BG19" s="65"/>
      <c r="BH19" s="66"/>
      <c r="BI19" s="67"/>
      <c r="BJ19" s="68"/>
      <c r="BK19" s="69">
        <v>1</v>
      </c>
      <c r="BL19" s="70"/>
      <c r="BM19" s="67"/>
      <c r="BN19" s="71"/>
      <c r="BO19" s="68"/>
      <c r="BP19" s="72"/>
      <c r="BQ19" s="73"/>
      <c r="BR19" s="65"/>
      <c r="BS19" s="66">
        <v>1</v>
      </c>
      <c r="BT19" s="67"/>
      <c r="BU19" s="68"/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>
        <v>1</v>
      </c>
      <c r="F20" s="67"/>
      <c r="G20" s="68"/>
      <c r="H20" s="69"/>
      <c r="I20" s="70"/>
      <c r="J20" s="67"/>
      <c r="K20" s="71"/>
      <c r="L20" s="68"/>
      <c r="M20" s="72"/>
      <c r="N20" s="74"/>
      <c r="O20" s="65"/>
      <c r="P20" s="66">
        <v>1</v>
      </c>
      <c r="Q20" s="67"/>
      <c r="R20" s="68">
        <v>1</v>
      </c>
      <c r="S20" s="69"/>
      <c r="T20" s="70"/>
      <c r="U20" s="67"/>
      <c r="V20" s="71"/>
      <c r="W20" s="68"/>
      <c r="X20" s="72"/>
      <c r="Y20" s="74"/>
      <c r="Z20" s="65"/>
      <c r="AA20" s="66"/>
      <c r="AB20" s="67"/>
      <c r="AC20" s="68">
        <v>1</v>
      </c>
      <c r="AD20" s="69"/>
      <c r="AE20" s="70"/>
      <c r="AF20" s="67"/>
      <c r="AG20" s="71"/>
      <c r="AH20" s="68"/>
      <c r="AI20" s="72"/>
      <c r="AJ20" s="74"/>
      <c r="AK20" s="65"/>
      <c r="AL20" s="66"/>
      <c r="AM20" s="67"/>
      <c r="AN20" s="68"/>
      <c r="AO20" s="69">
        <v>1</v>
      </c>
      <c r="AP20" s="70"/>
      <c r="AQ20" s="67"/>
      <c r="AR20" s="71"/>
      <c r="AS20" s="68"/>
      <c r="AT20" s="72"/>
      <c r="AU20" s="74"/>
      <c r="AV20" s="65"/>
      <c r="AW20" s="66">
        <v>1</v>
      </c>
      <c r="AX20" s="67"/>
      <c r="AY20" s="68">
        <v>1</v>
      </c>
      <c r="AZ20" s="69"/>
      <c r="BA20" s="70"/>
      <c r="BB20" s="67"/>
      <c r="BC20" s="71"/>
      <c r="BD20" s="68"/>
      <c r="BE20" s="72"/>
      <c r="BF20" s="74"/>
      <c r="BG20" s="65"/>
      <c r="BH20" s="66"/>
      <c r="BI20" s="67">
        <v>1</v>
      </c>
      <c r="BJ20" s="68"/>
      <c r="BK20" s="69"/>
      <c r="BL20" s="70"/>
      <c r="BM20" s="67"/>
      <c r="BN20" s="71"/>
      <c r="BO20" s="68"/>
      <c r="BP20" s="72"/>
      <c r="BQ20" s="74"/>
      <c r="BR20" s="65"/>
      <c r="BS20" s="66">
        <v>0.5</v>
      </c>
      <c r="BT20" s="67"/>
      <c r="BU20" s="68">
        <v>0.5</v>
      </c>
      <c r="BV20" s="69"/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>
        <v>0.5</v>
      </c>
      <c r="F21" s="67"/>
      <c r="G21" s="68"/>
      <c r="H21" s="69">
        <v>1</v>
      </c>
      <c r="I21" s="70"/>
      <c r="J21" s="67"/>
      <c r="K21" s="71"/>
      <c r="L21" s="68"/>
      <c r="M21" s="72"/>
      <c r="N21" s="73"/>
      <c r="O21" s="65"/>
      <c r="P21" s="66">
        <v>1</v>
      </c>
      <c r="Q21" s="67"/>
      <c r="R21" s="68"/>
      <c r="S21" s="69"/>
      <c r="T21" s="70"/>
      <c r="U21" s="67"/>
      <c r="V21" s="71"/>
      <c r="W21" s="68"/>
      <c r="X21" s="72"/>
      <c r="Y21" s="73"/>
      <c r="Z21" s="65"/>
      <c r="AA21" s="66"/>
      <c r="AB21" s="67"/>
      <c r="AC21" s="68"/>
      <c r="AD21" s="69">
        <v>0.5</v>
      </c>
      <c r="AE21" s="70"/>
      <c r="AF21" s="67"/>
      <c r="AG21" s="71"/>
      <c r="AH21" s="68"/>
      <c r="AI21" s="72"/>
      <c r="AJ21" s="73"/>
      <c r="AK21" s="65"/>
      <c r="AL21" s="66"/>
      <c r="AM21" s="67"/>
      <c r="AN21" s="68">
        <v>1</v>
      </c>
      <c r="AO21" s="69"/>
      <c r="AP21" s="70"/>
      <c r="AQ21" s="67"/>
      <c r="AR21" s="71"/>
      <c r="AS21" s="68"/>
      <c r="AT21" s="72"/>
      <c r="AU21" s="73"/>
      <c r="AV21" s="65"/>
      <c r="AW21" s="66"/>
      <c r="AX21" s="67"/>
      <c r="AY21" s="68">
        <v>1</v>
      </c>
      <c r="AZ21" s="69"/>
      <c r="BA21" s="70"/>
      <c r="BB21" s="67"/>
      <c r="BC21" s="71"/>
      <c r="BD21" s="68"/>
      <c r="BE21" s="72"/>
      <c r="BF21" s="73"/>
      <c r="BG21" s="65"/>
      <c r="BH21" s="66"/>
      <c r="BI21" s="67">
        <v>1</v>
      </c>
      <c r="BJ21" s="68"/>
      <c r="BK21" s="69">
        <v>1</v>
      </c>
      <c r="BL21" s="70"/>
      <c r="BM21" s="67"/>
      <c r="BN21" s="71"/>
      <c r="BO21" s="68"/>
      <c r="BP21" s="72"/>
      <c r="BQ21" s="73"/>
      <c r="BR21" s="65"/>
      <c r="BS21" s="66"/>
      <c r="BT21" s="67"/>
      <c r="BU21" s="68"/>
      <c r="BV21" s="69">
        <v>0.5</v>
      </c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/>
      <c r="G22" s="68"/>
      <c r="H22" s="69">
        <v>1</v>
      </c>
      <c r="I22" s="70"/>
      <c r="J22" s="67"/>
      <c r="K22" s="71"/>
      <c r="L22" s="68"/>
      <c r="M22" s="72"/>
      <c r="N22" s="73"/>
      <c r="O22" s="65"/>
      <c r="P22" s="66"/>
      <c r="Q22" s="67"/>
      <c r="R22" s="68">
        <v>1</v>
      </c>
      <c r="S22" s="69"/>
      <c r="T22" s="70"/>
      <c r="U22" s="67"/>
      <c r="V22" s="71"/>
      <c r="W22" s="68"/>
      <c r="X22" s="72"/>
      <c r="Y22" s="73"/>
      <c r="Z22" s="65"/>
      <c r="AA22" s="66"/>
      <c r="AB22" s="67"/>
      <c r="AC22" s="68">
        <v>1</v>
      </c>
      <c r="AD22" s="69"/>
      <c r="AE22" s="70"/>
      <c r="AF22" s="67"/>
      <c r="AG22" s="71"/>
      <c r="AH22" s="68"/>
      <c r="AI22" s="72"/>
      <c r="AJ22" s="73"/>
      <c r="AK22" s="65"/>
      <c r="AL22" s="66"/>
      <c r="AM22" s="67"/>
      <c r="AN22" s="68"/>
      <c r="AO22" s="69">
        <v>1</v>
      </c>
      <c r="AP22" s="70"/>
      <c r="AQ22" s="67"/>
      <c r="AR22" s="71"/>
      <c r="AS22" s="68"/>
      <c r="AT22" s="72"/>
      <c r="AU22" s="73"/>
      <c r="AV22" s="65"/>
      <c r="AW22" s="66"/>
      <c r="AX22" s="67"/>
      <c r="AY22" s="68"/>
      <c r="AZ22" s="69">
        <v>1</v>
      </c>
      <c r="BA22" s="70"/>
      <c r="BB22" s="67"/>
      <c r="BC22" s="71"/>
      <c r="BD22" s="68"/>
      <c r="BE22" s="72"/>
      <c r="BF22" s="73"/>
      <c r="BG22" s="65">
        <v>0.5</v>
      </c>
      <c r="BH22" s="66"/>
      <c r="BI22" s="67">
        <v>1</v>
      </c>
      <c r="BJ22" s="68"/>
      <c r="BK22" s="69">
        <v>1</v>
      </c>
      <c r="BL22" s="70"/>
      <c r="BM22" s="67"/>
      <c r="BN22" s="71"/>
      <c r="BO22" s="68"/>
      <c r="BP22" s="72"/>
      <c r="BQ22" s="73"/>
      <c r="BR22" s="65"/>
      <c r="BS22" s="66"/>
      <c r="BT22" s="67"/>
      <c r="BU22" s="68">
        <v>1</v>
      </c>
      <c r="BV22" s="69"/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>
        <v>1</v>
      </c>
      <c r="E23" s="66"/>
      <c r="F23" s="67"/>
      <c r="G23" s="68"/>
      <c r="H23" s="69">
        <v>1</v>
      </c>
      <c r="I23" s="70"/>
      <c r="J23" s="67"/>
      <c r="K23" s="71"/>
      <c r="L23" s="68"/>
      <c r="M23" s="72"/>
      <c r="N23" s="73"/>
      <c r="O23" s="65"/>
      <c r="P23" s="66"/>
      <c r="Q23" s="67"/>
      <c r="R23" s="68">
        <v>1</v>
      </c>
      <c r="S23" s="69"/>
      <c r="T23" s="70"/>
      <c r="U23" s="67"/>
      <c r="V23" s="71"/>
      <c r="W23" s="68"/>
      <c r="X23" s="72"/>
      <c r="Y23" s="73"/>
      <c r="Z23" s="65"/>
      <c r="AA23" s="66"/>
      <c r="AB23" s="67"/>
      <c r="AC23" s="68">
        <v>1</v>
      </c>
      <c r="AD23" s="69">
        <v>1</v>
      </c>
      <c r="AE23" s="70"/>
      <c r="AF23" s="67"/>
      <c r="AG23" s="71"/>
      <c r="AH23" s="68"/>
      <c r="AI23" s="72"/>
      <c r="AJ23" s="73"/>
      <c r="AK23" s="65"/>
      <c r="AL23" s="66"/>
      <c r="AM23" s="67"/>
      <c r="AN23" s="68">
        <v>1</v>
      </c>
      <c r="AO23" s="69">
        <v>1</v>
      </c>
      <c r="AP23" s="70"/>
      <c r="AQ23" s="67"/>
      <c r="AR23" s="71"/>
      <c r="AS23" s="68"/>
      <c r="AT23" s="72"/>
      <c r="AU23" s="73"/>
      <c r="AV23" s="65"/>
      <c r="AW23" s="66"/>
      <c r="AX23" s="67"/>
      <c r="AY23" s="68">
        <v>1</v>
      </c>
      <c r="AZ23" s="69"/>
      <c r="BA23" s="70"/>
      <c r="BB23" s="67"/>
      <c r="BC23" s="71"/>
      <c r="BD23" s="68"/>
      <c r="BE23" s="72"/>
      <c r="BF23" s="73"/>
      <c r="BG23" s="65">
        <v>1</v>
      </c>
      <c r="BH23" s="66"/>
      <c r="BI23" s="67"/>
      <c r="BJ23" s="68"/>
      <c r="BK23" s="69">
        <v>1</v>
      </c>
      <c r="BL23" s="70"/>
      <c r="BM23" s="67"/>
      <c r="BN23" s="71"/>
      <c r="BO23" s="68"/>
      <c r="BP23" s="72"/>
      <c r="BQ23" s="73"/>
      <c r="BR23" s="65"/>
      <c r="BS23" s="66"/>
      <c r="BT23" s="67">
        <v>0.5</v>
      </c>
      <c r="BU23" s="68">
        <v>1</v>
      </c>
      <c r="BV23" s="69">
        <v>1</v>
      </c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>
        <v>1</v>
      </c>
      <c r="E24" s="66"/>
      <c r="F24" s="67"/>
      <c r="G24" s="68"/>
      <c r="H24" s="69">
        <v>1</v>
      </c>
      <c r="I24" s="70"/>
      <c r="J24" s="67"/>
      <c r="K24" s="71"/>
      <c r="L24" s="68"/>
      <c r="M24" s="72"/>
      <c r="N24" s="73"/>
      <c r="O24" s="65"/>
      <c r="P24" s="66"/>
      <c r="Q24" s="67">
        <v>1</v>
      </c>
      <c r="R24" s="68">
        <v>1</v>
      </c>
      <c r="S24" s="69"/>
      <c r="T24" s="70"/>
      <c r="U24" s="67"/>
      <c r="V24" s="71"/>
      <c r="W24" s="68"/>
      <c r="X24" s="72"/>
      <c r="Y24" s="73"/>
      <c r="Z24" s="65"/>
      <c r="AA24" s="66"/>
      <c r="AB24" s="67"/>
      <c r="AC24" s="68">
        <v>0.5</v>
      </c>
      <c r="AD24" s="69">
        <v>1</v>
      </c>
      <c r="AE24" s="70"/>
      <c r="AF24" s="67"/>
      <c r="AG24" s="71"/>
      <c r="AH24" s="68"/>
      <c r="AI24" s="72"/>
      <c r="AJ24" s="73"/>
      <c r="AK24" s="65">
        <v>1</v>
      </c>
      <c r="AL24" s="66"/>
      <c r="AM24" s="67"/>
      <c r="AN24" s="68">
        <v>1</v>
      </c>
      <c r="AO24" s="69">
        <v>1</v>
      </c>
      <c r="AP24" s="70"/>
      <c r="AQ24" s="67"/>
      <c r="AR24" s="71"/>
      <c r="AS24" s="68"/>
      <c r="AT24" s="72"/>
      <c r="AU24" s="73"/>
      <c r="AV24" s="65"/>
      <c r="AW24" s="66"/>
      <c r="AX24" s="67">
        <v>1</v>
      </c>
      <c r="AY24" s="68">
        <v>1</v>
      </c>
      <c r="AZ24" s="69">
        <v>1</v>
      </c>
      <c r="BA24" s="70"/>
      <c r="BB24" s="67"/>
      <c r="BC24" s="71"/>
      <c r="BD24" s="68"/>
      <c r="BE24" s="72"/>
      <c r="BF24" s="73"/>
      <c r="BG24" s="65"/>
      <c r="BH24" s="66"/>
      <c r="BI24" s="67"/>
      <c r="BJ24" s="68">
        <v>1</v>
      </c>
      <c r="BK24" s="69"/>
      <c r="BL24" s="70"/>
      <c r="BM24" s="67"/>
      <c r="BN24" s="71"/>
      <c r="BO24" s="68"/>
      <c r="BP24" s="72"/>
      <c r="BQ24" s="73"/>
      <c r="BR24" s="65"/>
      <c r="BS24" s="66"/>
      <c r="BT24" s="67">
        <v>1</v>
      </c>
      <c r="BU24" s="68">
        <v>1</v>
      </c>
      <c r="BV24" s="69">
        <v>1</v>
      </c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>
        <v>1</v>
      </c>
      <c r="E25" s="66"/>
      <c r="F25" s="67"/>
      <c r="G25" s="68"/>
      <c r="H25" s="69">
        <v>1</v>
      </c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>
        <v>1</v>
      </c>
      <c r="S25" s="69"/>
      <c r="T25" s="70"/>
      <c r="U25" s="67"/>
      <c r="V25" s="71"/>
      <c r="W25" s="68"/>
      <c r="X25" s="72"/>
      <c r="Y25" s="73"/>
      <c r="Z25" s="65">
        <v>1</v>
      </c>
      <c r="AA25" s="66"/>
      <c r="AB25" s="67"/>
      <c r="AC25" s="68"/>
      <c r="AD25" s="69">
        <v>1</v>
      </c>
      <c r="AE25" s="70"/>
      <c r="AF25" s="67"/>
      <c r="AG25" s="71"/>
      <c r="AH25" s="68"/>
      <c r="AI25" s="72"/>
      <c r="AJ25" s="73"/>
      <c r="AK25" s="65">
        <v>1</v>
      </c>
      <c r="AL25" s="66"/>
      <c r="AM25" s="67"/>
      <c r="AN25" s="68">
        <v>1</v>
      </c>
      <c r="AO25" s="69"/>
      <c r="AP25" s="70"/>
      <c r="AQ25" s="67"/>
      <c r="AR25" s="71"/>
      <c r="AS25" s="68"/>
      <c r="AT25" s="72"/>
      <c r="AU25" s="73"/>
      <c r="AV25" s="65"/>
      <c r="AW25" s="66"/>
      <c r="AX25" s="67">
        <v>1</v>
      </c>
      <c r="AY25" s="68">
        <v>1</v>
      </c>
      <c r="AZ25" s="69">
        <v>1</v>
      </c>
      <c r="BA25" s="70"/>
      <c r="BB25" s="67"/>
      <c r="BC25" s="71"/>
      <c r="BD25" s="68"/>
      <c r="BE25" s="72"/>
      <c r="BF25" s="73"/>
      <c r="BG25" s="65">
        <v>1</v>
      </c>
      <c r="BH25" s="66">
        <v>0.5</v>
      </c>
      <c r="BI25" s="67"/>
      <c r="BJ25" s="68">
        <v>1</v>
      </c>
      <c r="BK25" s="69"/>
      <c r="BL25" s="70"/>
      <c r="BM25" s="67"/>
      <c r="BN25" s="71"/>
      <c r="BO25" s="68"/>
      <c r="BP25" s="72"/>
      <c r="BQ25" s="73"/>
      <c r="BR25" s="65"/>
      <c r="BS25" s="66"/>
      <c r="BT25" s="67">
        <v>1</v>
      </c>
      <c r="BU25" s="68">
        <v>1</v>
      </c>
      <c r="BV25" s="69">
        <v>1</v>
      </c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>
        <v>1</v>
      </c>
      <c r="E26" s="66"/>
      <c r="F26" s="67"/>
      <c r="G26" s="68"/>
      <c r="H26" s="69">
        <v>1</v>
      </c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>
        <v>1</v>
      </c>
      <c r="S26" s="69"/>
      <c r="T26" s="70"/>
      <c r="U26" s="67"/>
      <c r="V26" s="71"/>
      <c r="W26" s="68"/>
      <c r="X26" s="72"/>
      <c r="Y26" s="73"/>
      <c r="Z26" s="65">
        <v>1</v>
      </c>
      <c r="AA26" s="66"/>
      <c r="AB26" s="67"/>
      <c r="AC26" s="68"/>
      <c r="AD26" s="69">
        <v>1</v>
      </c>
      <c r="AE26" s="70"/>
      <c r="AF26" s="67"/>
      <c r="AG26" s="71"/>
      <c r="AH26" s="68"/>
      <c r="AI26" s="72"/>
      <c r="AJ26" s="73"/>
      <c r="AK26" s="65">
        <v>1</v>
      </c>
      <c r="AL26" s="66"/>
      <c r="AM26" s="67"/>
      <c r="AN26" s="68">
        <v>1</v>
      </c>
      <c r="AO26" s="69"/>
      <c r="AP26" s="70"/>
      <c r="AQ26" s="67"/>
      <c r="AR26" s="71"/>
      <c r="AS26" s="68"/>
      <c r="AT26" s="72"/>
      <c r="AU26" s="73"/>
      <c r="AV26" s="65"/>
      <c r="AW26" s="66"/>
      <c r="AX26" s="67">
        <v>1</v>
      </c>
      <c r="AY26" s="68"/>
      <c r="AZ26" s="69">
        <v>1</v>
      </c>
      <c r="BA26" s="70"/>
      <c r="BB26" s="67"/>
      <c r="BC26" s="71"/>
      <c r="BD26" s="68"/>
      <c r="BE26" s="72"/>
      <c r="BF26" s="73"/>
      <c r="BG26" s="65">
        <v>1</v>
      </c>
      <c r="BH26" s="66">
        <v>1</v>
      </c>
      <c r="BI26" s="67"/>
      <c r="BJ26" s="68">
        <v>1</v>
      </c>
      <c r="BK26" s="69"/>
      <c r="BL26" s="70"/>
      <c r="BM26" s="67"/>
      <c r="BN26" s="71"/>
      <c r="BO26" s="68"/>
      <c r="BP26" s="72"/>
      <c r="BQ26" s="73"/>
      <c r="BR26" s="65"/>
      <c r="BS26" s="66"/>
      <c r="BT26" s="67">
        <v>1</v>
      </c>
      <c r="BU26" s="68">
        <v>1</v>
      </c>
      <c r="BV26" s="69">
        <v>1</v>
      </c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>
        <v>1</v>
      </c>
      <c r="E27" s="66"/>
      <c r="F27" s="67"/>
      <c r="G27" s="68"/>
      <c r="H27" s="69">
        <v>1</v>
      </c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>
        <v>1</v>
      </c>
      <c r="S27" s="69"/>
      <c r="T27" s="70"/>
      <c r="U27" s="67"/>
      <c r="V27" s="71"/>
      <c r="W27" s="68"/>
      <c r="X27" s="72"/>
      <c r="Y27" s="73"/>
      <c r="Z27" s="65">
        <v>1</v>
      </c>
      <c r="AA27" s="66"/>
      <c r="AB27" s="67"/>
      <c r="AC27" s="68"/>
      <c r="AD27" s="69">
        <v>1</v>
      </c>
      <c r="AE27" s="70"/>
      <c r="AF27" s="67"/>
      <c r="AG27" s="71"/>
      <c r="AH27" s="68"/>
      <c r="AI27" s="72"/>
      <c r="AJ27" s="73"/>
      <c r="AK27" s="65">
        <v>1</v>
      </c>
      <c r="AL27" s="66"/>
      <c r="AM27" s="67"/>
      <c r="AN27" s="68">
        <v>1</v>
      </c>
      <c r="AO27" s="69"/>
      <c r="AP27" s="70"/>
      <c r="AQ27" s="67"/>
      <c r="AR27" s="71"/>
      <c r="AS27" s="68"/>
      <c r="AT27" s="72"/>
      <c r="AU27" s="73"/>
      <c r="AV27" s="65"/>
      <c r="AW27" s="66"/>
      <c r="AX27" s="67">
        <v>1</v>
      </c>
      <c r="AY27" s="68"/>
      <c r="AZ27" s="69">
        <v>1</v>
      </c>
      <c r="BA27" s="70"/>
      <c r="BB27" s="67"/>
      <c r="BC27" s="71"/>
      <c r="BD27" s="68"/>
      <c r="BE27" s="72"/>
      <c r="BF27" s="73"/>
      <c r="BG27" s="65">
        <v>1</v>
      </c>
      <c r="BH27" s="66">
        <v>1</v>
      </c>
      <c r="BI27" s="67"/>
      <c r="BJ27" s="68">
        <v>1</v>
      </c>
      <c r="BK27" s="69"/>
      <c r="BL27" s="70"/>
      <c r="BM27" s="67"/>
      <c r="BN27" s="71"/>
      <c r="BO27" s="68"/>
      <c r="BP27" s="72"/>
      <c r="BQ27" s="73"/>
      <c r="BR27" s="65"/>
      <c r="BS27" s="66"/>
      <c r="BT27" s="67">
        <v>1</v>
      </c>
      <c r="BU27" s="68">
        <v>1</v>
      </c>
      <c r="BV27" s="69">
        <v>1</v>
      </c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>
        <v>1</v>
      </c>
      <c r="E28" s="66"/>
      <c r="F28" s="67"/>
      <c r="G28" s="68"/>
      <c r="H28" s="69">
        <v>1</v>
      </c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>
        <v>1</v>
      </c>
      <c r="S28" s="69"/>
      <c r="T28" s="70"/>
      <c r="U28" s="67"/>
      <c r="V28" s="71"/>
      <c r="W28" s="68"/>
      <c r="X28" s="72"/>
      <c r="Y28" s="73"/>
      <c r="Z28" s="65">
        <v>1</v>
      </c>
      <c r="AA28" s="66"/>
      <c r="AB28" s="67"/>
      <c r="AC28" s="68"/>
      <c r="AD28" s="69">
        <v>1</v>
      </c>
      <c r="AE28" s="70"/>
      <c r="AF28" s="67"/>
      <c r="AG28" s="71"/>
      <c r="AH28" s="68"/>
      <c r="AI28" s="72"/>
      <c r="AJ28" s="73"/>
      <c r="AK28" s="65">
        <v>1</v>
      </c>
      <c r="AL28" s="66"/>
      <c r="AM28" s="67"/>
      <c r="AN28" s="68">
        <v>1</v>
      </c>
      <c r="AO28" s="71"/>
      <c r="AP28" s="71"/>
      <c r="AQ28" s="71"/>
      <c r="AR28" s="71"/>
      <c r="AS28" s="68"/>
      <c r="AT28" s="72"/>
      <c r="AU28" s="73"/>
      <c r="AV28" s="65"/>
      <c r="AW28" s="66"/>
      <c r="AX28" s="67">
        <v>1</v>
      </c>
      <c r="AY28" s="68"/>
      <c r="AZ28" s="69">
        <v>1</v>
      </c>
      <c r="BA28" s="70"/>
      <c r="BB28" s="67"/>
      <c r="BC28" s="71"/>
      <c r="BD28" s="68"/>
      <c r="BE28" s="72"/>
      <c r="BF28" s="73"/>
      <c r="BG28" s="65">
        <v>1</v>
      </c>
      <c r="BH28" s="66">
        <v>1</v>
      </c>
      <c r="BI28" s="67"/>
      <c r="BJ28" s="68">
        <v>1</v>
      </c>
      <c r="BK28" s="69"/>
      <c r="BL28" s="70"/>
      <c r="BM28" s="67"/>
      <c r="BN28" s="71"/>
      <c r="BO28" s="68"/>
      <c r="BP28" s="72"/>
      <c r="BQ28" s="73"/>
      <c r="BR28" s="65"/>
      <c r="BS28" s="66"/>
      <c r="BT28" s="67">
        <v>1</v>
      </c>
      <c r="BU28" s="68">
        <v>1</v>
      </c>
      <c r="BV28" s="69">
        <v>1</v>
      </c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15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16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17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18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19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20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21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SOFIA</v>
      </c>
      <c r="E33" s="31" t="str">
        <f t="shared" si="0"/>
        <v>ANAHY</v>
      </c>
      <c r="F33" s="32" t="str">
        <f t="shared" si="0"/>
        <v>MICHAEL</v>
      </c>
      <c r="G33" s="33" t="str">
        <f t="shared" si="0"/>
        <v>LINDSAY</v>
      </c>
      <c r="H33" s="34" t="str">
        <f t="shared" si="0"/>
        <v>MILA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SOFIA</v>
      </c>
      <c r="P33" s="31" t="str">
        <f t="shared" si="1"/>
        <v>ANAHY</v>
      </c>
      <c r="Q33" s="32" t="str">
        <f t="shared" si="1"/>
        <v>MICHAEL</v>
      </c>
      <c r="R33" s="33" t="str">
        <f t="shared" si="1"/>
        <v>LINDSAY</v>
      </c>
      <c r="S33" s="34" t="str">
        <f t="shared" si="1"/>
        <v>MILA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SOFIA</v>
      </c>
      <c r="AA33" s="31" t="str">
        <f t="shared" si="2"/>
        <v>ANAHY</v>
      </c>
      <c r="AB33" s="32" t="str">
        <f t="shared" si="2"/>
        <v>MICHAEL</v>
      </c>
      <c r="AC33" s="33" t="str">
        <f t="shared" si="2"/>
        <v>LINDSAY</v>
      </c>
      <c r="AD33" s="34" t="str">
        <f t="shared" si="2"/>
        <v>MILA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SOFIA</v>
      </c>
      <c r="AL33" s="31" t="str">
        <f t="shared" si="3"/>
        <v>ANAHY</v>
      </c>
      <c r="AM33" s="32" t="str">
        <f t="shared" si="3"/>
        <v>MICHAEL</v>
      </c>
      <c r="AN33" s="33" t="str">
        <f t="shared" si="3"/>
        <v>LINDSAY</v>
      </c>
      <c r="AO33" s="34" t="str">
        <f t="shared" si="3"/>
        <v>MILA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SOFIA</v>
      </c>
      <c r="AW33" s="31" t="str">
        <f t="shared" si="4"/>
        <v>ANAHY</v>
      </c>
      <c r="AX33" s="32" t="str">
        <f t="shared" si="4"/>
        <v>MICHAEL</v>
      </c>
      <c r="AY33" s="33" t="str">
        <f t="shared" si="4"/>
        <v>LINDSAY</v>
      </c>
      <c r="AZ33" s="34" t="str">
        <f t="shared" si="4"/>
        <v>MILA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SOFIA</v>
      </c>
      <c r="BH33" s="31" t="str">
        <f t="shared" si="5"/>
        <v>ANAHY</v>
      </c>
      <c r="BI33" s="32" t="str">
        <f t="shared" si="5"/>
        <v>MICHAEL</v>
      </c>
      <c r="BJ33" s="33" t="str">
        <f t="shared" si="5"/>
        <v>LINDSAY</v>
      </c>
      <c r="BK33" s="34" t="str">
        <f t="shared" si="5"/>
        <v>MILA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SOFIA</v>
      </c>
      <c r="BS33" s="31" t="str">
        <f t="shared" si="6"/>
        <v>ANAHY</v>
      </c>
      <c r="BT33" s="32" t="str">
        <f t="shared" si="6"/>
        <v>MICHAEL</v>
      </c>
      <c r="BU33" s="33" t="str">
        <f t="shared" si="6"/>
        <v>LINDSAY</v>
      </c>
      <c r="BV33" s="34" t="str">
        <f t="shared" si="6"/>
        <v>MILA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6</v>
      </c>
      <c r="E34" s="48">
        <f t="shared" ref="E34:M34" si="7">SUM(E7:E30)</f>
        <v>4.5</v>
      </c>
      <c r="F34" s="49">
        <f t="shared" si="7"/>
        <v>0</v>
      </c>
      <c r="G34" s="50">
        <f t="shared" si="7"/>
        <v>1.5</v>
      </c>
      <c r="H34" s="51">
        <f t="shared" si="7"/>
        <v>10</v>
      </c>
      <c r="I34" s="52">
        <f t="shared" si="7"/>
        <v>0.5</v>
      </c>
      <c r="J34" s="49">
        <f t="shared" si="7"/>
        <v>0.5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0</v>
      </c>
      <c r="P34" s="48">
        <f t="shared" si="8"/>
        <v>5</v>
      </c>
      <c r="Q34" s="49">
        <f t="shared" si="8"/>
        <v>5</v>
      </c>
      <c r="R34" s="50">
        <f t="shared" si="8"/>
        <v>9.5</v>
      </c>
      <c r="S34" s="51">
        <f t="shared" si="8"/>
        <v>1.5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4</v>
      </c>
      <c r="AA34" s="48">
        <f t="shared" si="9"/>
        <v>0</v>
      </c>
      <c r="AB34" s="49">
        <f t="shared" si="9"/>
        <v>0</v>
      </c>
      <c r="AC34" s="50">
        <f t="shared" si="9"/>
        <v>8</v>
      </c>
      <c r="AD34" s="51">
        <f t="shared" si="9"/>
        <v>8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5</v>
      </c>
      <c r="AL34" s="48">
        <f t="shared" si="10"/>
        <v>0</v>
      </c>
      <c r="AM34" s="49">
        <f t="shared" si="10"/>
        <v>0</v>
      </c>
      <c r="AN34" s="50">
        <f t="shared" si="10"/>
        <v>7</v>
      </c>
      <c r="AO34" s="51">
        <f t="shared" si="10"/>
        <v>7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1.5</v>
      </c>
      <c r="AW34" s="48">
        <f t="shared" si="11"/>
        <v>5.5</v>
      </c>
      <c r="AX34" s="49">
        <f t="shared" si="11"/>
        <v>6.5</v>
      </c>
      <c r="AY34" s="50">
        <f t="shared" si="11"/>
        <v>8</v>
      </c>
      <c r="AZ34" s="51">
        <f t="shared" si="11"/>
        <v>7.5</v>
      </c>
      <c r="BA34" s="52">
        <f t="shared" si="11"/>
        <v>0.5</v>
      </c>
      <c r="BB34" s="49">
        <f t="shared" si="11"/>
        <v>0.5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7</v>
      </c>
      <c r="BH34" s="48">
        <f t="shared" si="12"/>
        <v>5</v>
      </c>
      <c r="BI34" s="49">
        <f t="shared" si="12"/>
        <v>6.5</v>
      </c>
      <c r="BJ34" s="50">
        <f t="shared" si="12"/>
        <v>6.5</v>
      </c>
      <c r="BK34" s="51">
        <f t="shared" si="12"/>
        <v>7.5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0</v>
      </c>
      <c r="BS34" s="48">
        <f t="shared" si="13"/>
        <v>3.5</v>
      </c>
      <c r="BT34" s="49">
        <f t="shared" si="13"/>
        <v>5.5</v>
      </c>
      <c r="BU34" s="50">
        <f t="shared" si="13"/>
        <v>7.5</v>
      </c>
      <c r="BV34" s="51">
        <f t="shared" si="13"/>
        <v>6.5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42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23.5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36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23.5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37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23.5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48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39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48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1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1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41:J41"/>
    <mergeCell ref="L41:N41"/>
    <mergeCell ref="B42:J42"/>
    <mergeCell ref="L42:N42"/>
    <mergeCell ref="B43:J43"/>
    <mergeCell ref="L43:N43"/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</mergeCells>
  <conditionalFormatting sqref="D7:M14 D29:M30">
    <cfRule type="expression" dxfId="160" priority="14">
      <formula>IF(OR(D7=0,D7=""),TRUE(),FALSE())</formula>
    </cfRule>
  </conditionalFormatting>
  <conditionalFormatting sqref="D15:M28">
    <cfRule type="expression" dxfId="159" priority="13">
      <formula>IF(OR(D15=0,D15=""),TRUE(),FALSE())</formula>
    </cfRule>
  </conditionalFormatting>
  <conditionalFormatting sqref="O7:X14 O29:X30">
    <cfRule type="expression" dxfId="158" priority="12">
      <formula>IF(OR(O7=0,O7=""),TRUE(),FALSE())</formula>
    </cfRule>
  </conditionalFormatting>
  <conditionalFormatting sqref="O15:X28">
    <cfRule type="expression" dxfId="157" priority="11">
      <formula>IF(OR(O15=0,O15=""),TRUE(),FALSE())</formula>
    </cfRule>
  </conditionalFormatting>
  <conditionalFormatting sqref="Z7:AI14 Z29:AI30">
    <cfRule type="expression" dxfId="156" priority="10">
      <formula>IF(OR(Z7=0,Z7=""),TRUE(),FALSE())</formula>
    </cfRule>
  </conditionalFormatting>
  <conditionalFormatting sqref="Z15:AI28">
    <cfRule type="expression" dxfId="155" priority="9">
      <formula>IF(OR(Z15=0,Z15=""),TRUE(),FALSE())</formula>
    </cfRule>
  </conditionalFormatting>
  <conditionalFormatting sqref="AK7:AT14 AK29:AT30">
    <cfRule type="expression" dxfId="154" priority="8">
      <formula>IF(OR(AK7=0,AK7=""),TRUE(),FALSE())</formula>
    </cfRule>
  </conditionalFormatting>
  <conditionalFormatting sqref="AK15:AT28">
    <cfRule type="expression" dxfId="153" priority="7">
      <formula>IF(OR(AK15=0,AK15=""),TRUE(),FALSE())</formula>
    </cfRule>
  </conditionalFormatting>
  <conditionalFormatting sqref="AV7:BE14 AV29:BE30">
    <cfRule type="expression" dxfId="152" priority="6">
      <formula>IF(OR(AV7=0,AV7=""),TRUE(),FALSE())</formula>
    </cfRule>
  </conditionalFormatting>
  <conditionalFormatting sqref="AV15:BE28">
    <cfRule type="expression" dxfId="151" priority="5">
      <formula>IF(OR(AV15=0,AV15=""),TRUE(),FALSE())</formula>
    </cfRule>
  </conditionalFormatting>
  <conditionalFormatting sqref="BG7:BP14 BG29:BP30">
    <cfRule type="expression" dxfId="150" priority="4">
      <formula>IF(OR(BG7=0,BG7=""),TRUE(),FALSE())</formula>
    </cfRule>
  </conditionalFormatting>
  <conditionalFormatting sqref="BG15:BP28">
    <cfRule type="expression" dxfId="149" priority="3">
      <formula>IF(OR(BG15=0,BG15=""),TRUE(),FALSE())</formula>
    </cfRule>
  </conditionalFormatting>
  <conditionalFormatting sqref="BR7:CA14 BR29:CA30">
    <cfRule type="expression" dxfId="148" priority="2">
      <formula>IF(OR(BR7=0,BR7=""),TRUE(),FALSE())</formula>
    </cfRule>
  </conditionalFormatting>
  <conditionalFormatting sqref="BR15:CA28">
    <cfRule type="expression" dxfId="147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36CEDA2F-47C8-4951-BEE5-373EA15FC22E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C7588-4970-4794-84CD-90D412CADAC5}">
  <sheetPr codeName="Hoja17"/>
  <dimension ref="A1:CA48"/>
  <sheetViews>
    <sheetView showGridLines="0" topLeftCell="A3" zoomScale="70" zoomScaleNormal="70" workbookViewId="0">
      <selection activeCell="C6" sqref="C6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22 DE JUNIO AL 28 DE JUNIO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46195</v>
      </c>
      <c r="D5" s="63" t="str">
        <f>CONCATENATE("Lunes ",TEXT(DAY(C5),"00"))</f>
        <v>Lunes 22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23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24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25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26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27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28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41</v>
      </c>
      <c r="E6" s="9" t="s">
        <v>33</v>
      </c>
      <c r="F6" s="10" t="s">
        <v>31</v>
      </c>
      <c r="G6" s="11" t="s">
        <v>21</v>
      </c>
      <c r="H6" s="12" t="s">
        <v>13</v>
      </c>
      <c r="I6" s="13"/>
      <c r="J6" s="10"/>
      <c r="K6" s="14"/>
      <c r="L6" s="11"/>
      <c r="M6" s="15"/>
      <c r="O6" s="8" t="str">
        <f>D6</f>
        <v>SOFIA</v>
      </c>
      <c r="P6" s="9" t="str">
        <f>E6</f>
        <v>ANAHY</v>
      </c>
      <c r="Q6" s="10" t="str">
        <f>F6</f>
        <v>MICHAEL</v>
      </c>
      <c r="R6" s="11" t="str">
        <f>G6</f>
        <v>LINDSAY</v>
      </c>
      <c r="S6" s="12" t="str">
        <f>H6</f>
        <v>MILA</v>
      </c>
      <c r="T6" s="13"/>
      <c r="U6" s="10"/>
      <c r="V6" s="14"/>
      <c r="W6" s="11"/>
      <c r="X6" s="15"/>
      <c r="Z6" s="8" t="str">
        <f>O6</f>
        <v>SOFIA</v>
      </c>
      <c r="AA6" s="9" t="s">
        <v>33</v>
      </c>
      <c r="AB6" s="10" t="str">
        <f>Q6</f>
        <v>MICHAEL</v>
      </c>
      <c r="AC6" s="11" t="str">
        <f>R6</f>
        <v>LINDSAY</v>
      </c>
      <c r="AD6" s="12" t="str">
        <f>H6</f>
        <v>MILA</v>
      </c>
      <c r="AE6" s="13"/>
      <c r="AF6" s="10"/>
      <c r="AG6" s="14"/>
      <c r="AH6" s="11"/>
      <c r="AI6" s="15"/>
      <c r="AK6" s="8" t="str">
        <f>Z6</f>
        <v>SOFIA</v>
      </c>
      <c r="AL6" s="9" t="str">
        <f>AA6</f>
        <v>ANAHY</v>
      </c>
      <c r="AM6" s="10" t="str">
        <f>Q6</f>
        <v>MICHAEL</v>
      </c>
      <c r="AN6" s="11" t="str">
        <f>AC6</f>
        <v>LINDSAY</v>
      </c>
      <c r="AO6" s="12" t="str">
        <f>H6</f>
        <v>MILA</v>
      </c>
      <c r="AP6" s="13"/>
      <c r="AQ6" s="10"/>
      <c r="AR6" s="14"/>
      <c r="AS6" s="11"/>
      <c r="AT6" s="15"/>
      <c r="AV6" s="8" t="str">
        <f>AK6</f>
        <v>SOFIA</v>
      </c>
      <c r="AW6" s="9" t="s">
        <v>33</v>
      </c>
      <c r="AX6" s="10" t="str">
        <f>AB6</f>
        <v>MICHAEL</v>
      </c>
      <c r="AY6" s="11" t="str">
        <f>AN6</f>
        <v>LINDSAY</v>
      </c>
      <c r="AZ6" s="12" t="str">
        <f>H6</f>
        <v>MILA</v>
      </c>
      <c r="BA6" s="13"/>
      <c r="BB6" s="10"/>
      <c r="BC6" s="14"/>
      <c r="BD6" s="11"/>
      <c r="BE6" s="15"/>
      <c r="BG6" s="8" t="str">
        <f>AV6</f>
        <v>SOFIA</v>
      </c>
      <c r="BH6" s="9" t="s">
        <v>33</v>
      </c>
      <c r="BI6" s="10" t="str">
        <f>AX6</f>
        <v>MICHAEL</v>
      </c>
      <c r="BJ6" s="11" t="str">
        <f>AC6</f>
        <v>LINDSAY</v>
      </c>
      <c r="BK6" s="12" t="str">
        <f>S6</f>
        <v>MILA</v>
      </c>
      <c r="BL6" s="13"/>
      <c r="BM6" s="10"/>
      <c r="BN6" s="14"/>
      <c r="BO6" s="11"/>
      <c r="BP6" s="15"/>
      <c r="BR6" s="8" t="str">
        <f>AV6</f>
        <v>SOFIA</v>
      </c>
      <c r="BS6" s="9" t="str">
        <f>BH6</f>
        <v>ANAHY</v>
      </c>
      <c r="BT6" s="10" t="str">
        <f>AX6</f>
        <v>MICHAEL</v>
      </c>
      <c r="BU6" s="11" t="str">
        <f>BJ6</f>
        <v>LINDSAY</v>
      </c>
      <c r="BV6" s="12" t="s">
        <v>13</v>
      </c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>
        <v>0.5</v>
      </c>
      <c r="BB14" s="18">
        <v>0.5</v>
      </c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>
        <v>1</v>
      </c>
      <c r="H15" s="69">
        <v>1</v>
      </c>
      <c r="I15" s="70"/>
      <c r="J15" s="67"/>
      <c r="K15" s="71"/>
      <c r="L15" s="68"/>
      <c r="M15" s="72"/>
      <c r="N15" s="73"/>
      <c r="O15" s="65"/>
      <c r="P15" s="66"/>
      <c r="Q15" s="67"/>
      <c r="R15" s="68">
        <v>1</v>
      </c>
      <c r="S15" s="69">
        <v>1</v>
      </c>
      <c r="T15" s="70"/>
      <c r="U15" s="67"/>
      <c r="V15" s="71"/>
      <c r="W15" s="68"/>
      <c r="X15" s="72"/>
      <c r="Y15" s="73"/>
      <c r="Z15" s="65"/>
      <c r="AA15" s="66">
        <v>1</v>
      </c>
      <c r="AB15" s="67">
        <v>1</v>
      </c>
      <c r="AC15" s="68">
        <v>1</v>
      </c>
      <c r="AD15" s="69">
        <v>1</v>
      </c>
      <c r="AE15" s="70"/>
      <c r="AF15" s="67"/>
      <c r="AG15" s="71"/>
      <c r="AH15" s="68"/>
      <c r="AI15" s="72"/>
      <c r="AJ15" s="73"/>
      <c r="AK15" s="65">
        <v>0.5</v>
      </c>
      <c r="AL15" s="66">
        <v>0.5</v>
      </c>
      <c r="AM15" s="67">
        <v>0.5</v>
      </c>
      <c r="AN15" s="68">
        <v>0.5</v>
      </c>
      <c r="AO15" s="69">
        <v>0.5</v>
      </c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>
        <v>1</v>
      </c>
      <c r="BI15" s="67">
        <v>1</v>
      </c>
      <c r="BJ15" s="68">
        <v>1</v>
      </c>
      <c r="BK15" s="69">
        <v>1</v>
      </c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/>
      <c r="F16" s="67"/>
      <c r="G16" s="68">
        <v>0.5</v>
      </c>
      <c r="H16" s="69">
        <v>0.5</v>
      </c>
      <c r="I16" s="70">
        <v>0.5</v>
      </c>
      <c r="J16" s="67">
        <v>0.5</v>
      </c>
      <c r="K16" s="71"/>
      <c r="L16" s="68"/>
      <c r="M16" s="72"/>
      <c r="N16" s="73"/>
      <c r="O16" s="65"/>
      <c r="P16" s="66"/>
      <c r="Q16" s="67"/>
      <c r="R16" s="68">
        <v>0.5</v>
      </c>
      <c r="S16" s="69">
        <v>0.5</v>
      </c>
      <c r="T16" s="70"/>
      <c r="U16" s="67"/>
      <c r="V16" s="71"/>
      <c r="W16" s="68"/>
      <c r="X16" s="72"/>
      <c r="Y16" s="73"/>
      <c r="Z16" s="65"/>
      <c r="AA16" s="66">
        <v>0.5</v>
      </c>
      <c r="AB16" s="67">
        <v>0.5</v>
      </c>
      <c r="AC16" s="68">
        <v>0.5</v>
      </c>
      <c r="AD16" s="69">
        <v>0.5</v>
      </c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6">
        <v>0.5</v>
      </c>
      <c r="BI16" s="67">
        <v>0.5</v>
      </c>
      <c r="BJ16" s="68">
        <v>0.5</v>
      </c>
      <c r="BK16" s="69">
        <v>0.5</v>
      </c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>
        <v>1</v>
      </c>
      <c r="F17" s="67"/>
      <c r="G17" s="68"/>
      <c r="H17" s="69"/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/>
      <c r="S17" s="69"/>
      <c r="T17" s="70"/>
      <c r="U17" s="67"/>
      <c r="V17" s="71"/>
      <c r="W17" s="68"/>
      <c r="X17" s="72"/>
      <c r="Y17" s="73"/>
      <c r="Z17" s="65"/>
      <c r="AA17" s="66"/>
      <c r="AB17" s="67"/>
      <c r="AC17" s="68">
        <v>1</v>
      </c>
      <c r="AD17" s="69"/>
      <c r="AE17" s="70"/>
      <c r="AF17" s="67"/>
      <c r="AG17" s="71"/>
      <c r="AH17" s="68"/>
      <c r="AI17" s="72"/>
      <c r="AJ17" s="73"/>
      <c r="AK17" s="65"/>
      <c r="AL17" s="66"/>
      <c r="AM17" s="67"/>
      <c r="AN17" s="68"/>
      <c r="AO17" s="69">
        <v>1</v>
      </c>
      <c r="AP17" s="70"/>
      <c r="AQ17" s="67"/>
      <c r="AR17" s="71"/>
      <c r="AS17" s="68"/>
      <c r="AT17" s="72"/>
      <c r="AU17" s="73"/>
      <c r="AV17" s="65"/>
      <c r="AW17" s="66">
        <v>1</v>
      </c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/>
      <c r="BI17" s="67">
        <v>1</v>
      </c>
      <c r="BJ17" s="68"/>
      <c r="BK17" s="69">
        <v>1</v>
      </c>
      <c r="BL17" s="70"/>
      <c r="BM17" s="67"/>
      <c r="BN17" s="71"/>
      <c r="BO17" s="68"/>
      <c r="BP17" s="72"/>
      <c r="BQ17" s="73"/>
      <c r="BR17" s="65"/>
      <c r="BS17" s="66"/>
      <c r="BT17" s="67">
        <v>1</v>
      </c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>
        <v>1</v>
      </c>
      <c r="F18" s="67"/>
      <c r="G18" s="68"/>
      <c r="H18" s="69"/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/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>
        <v>1</v>
      </c>
      <c r="AD18" s="69"/>
      <c r="AE18" s="70"/>
      <c r="AF18" s="67"/>
      <c r="AG18" s="71"/>
      <c r="AH18" s="68"/>
      <c r="AI18" s="72"/>
      <c r="AJ18" s="73"/>
      <c r="AK18" s="65"/>
      <c r="AL18" s="66"/>
      <c r="AM18" s="67"/>
      <c r="AN18" s="68"/>
      <c r="AO18" s="69">
        <v>1</v>
      </c>
      <c r="AP18" s="70"/>
      <c r="AQ18" s="67"/>
      <c r="AR18" s="71"/>
      <c r="AS18" s="68"/>
      <c r="AT18" s="72"/>
      <c r="AU18" s="73"/>
      <c r="AV18" s="65"/>
      <c r="AW18" s="66">
        <v>1</v>
      </c>
      <c r="AX18" s="67"/>
      <c r="AY18" s="68">
        <v>1</v>
      </c>
      <c r="AZ18" s="69"/>
      <c r="BA18" s="70"/>
      <c r="BB18" s="67"/>
      <c r="BC18" s="71"/>
      <c r="BD18" s="68"/>
      <c r="BE18" s="72"/>
      <c r="BF18" s="73"/>
      <c r="BG18" s="65"/>
      <c r="BH18" s="66"/>
      <c r="BI18" s="67">
        <v>1</v>
      </c>
      <c r="BJ18" s="68"/>
      <c r="BK18" s="69">
        <v>1</v>
      </c>
      <c r="BL18" s="70"/>
      <c r="BM18" s="67"/>
      <c r="BN18" s="71"/>
      <c r="BO18" s="68"/>
      <c r="BP18" s="72"/>
      <c r="BQ18" s="73"/>
      <c r="BR18" s="65"/>
      <c r="BS18" s="66"/>
      <c r="BT18" s="67">
        <v>1</v>
      </c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>
        <v>1</v>
      </c>
      <c r="F19" s="67"/>
      <c r="G19" s="68"/>
      <c r="H19" s="69">
        <v>0.5</v>
      </c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/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>
        <v>1</v>
      </c>
      <c r="AD19" s="69"/>
      <c r="AE19" s="70"/>
      <c r="AF19" s="67"/>
      <c r="AG19" s="71"/>
      <c r="AH19" s="68"/>
      <c r="AI19" s="72"/>
      <c r="AJ19" s="73"/>
      <c r="AK19" s="65"/>
      <c r="AL19" s="66"/>
      <c r="AM19" s="67"/>
      <c r="AN19" s="68"/>
      <c r="AO19" s="69">
        <v>1</v>
      </c>
      <c r="AP19" s="70"/>
      <c r="AQ19" s="67"/>
      <c r="AR19" s="71"/>
      <c r="AS19" s="68"/>
      <c r="AT19" s="72"/>
      <c r="AU19" s="73"/>
      <c r="AV19" s="65"/>
      <c r="AW19" s="66">
        <v>1</v>
      </c>
      <c r="AX19" s="67"/>
      <c r="AY19" s="68">
        <v>1</v>
      </c>
      <c r="AZ19" s="69"/>
      <c r="BA19" s="70"/>
      <c r="BB19" s="67"/>
      <c r="BC19" s="71"/>
      <c r="BD19" s="68"/>
      <c r="BE19" s="72"/>
      <c r="BF19" s="73"/>
      <c r="BG19" s="65"/>
      <c r="BH19" s="66"/>
      <c r="BI19" s="67">
        <v>1</v>
      </c>
      <c r="BJ19" s="68"/>
      <c r="BK19" s="69">
        <v>1</v>
      </c>
      <c r="BL19" s="70"/>
      <c r="BM19" s="67"/>
      <c r="BN19" s="71"/>
      <c r="BO19" s="68"/>
      <c r="BP19" s="72"/>
      <c r="BQ19" s="73"/>
      <c r="BR19" s="65"/>
      <c r="BS19" s="66"/>
      <c r="BT19" s="67">
        <v>1</v>
      </c>
      <c r="BU19" s="68"/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>
        <v>1</v>
      </c>
      <c r="F20" s="67"/>
      <c r="G20" s="68"/>
      <c r="H20" s="69"/>
      <c r="I20" s="70"/>
      <c r="J20" s="67"/>
      <c r="K20" s="71"/>
      <c r="L20" s="68"/>
      <c r="M20" s="72"/>
      <c r="N20" s="74"/>
      <c r="O20" s="65"/>
      <c r="P20" s="66">
        <v>1</v>
      </c>
      <c r="Q20" s="67"/>
      <c r="R20" s="68">
        <v>1</v>
      </c>
      <c r="S20" s="69"/>
      <c r="T20" s="70"/>
      <c r="U20" s="67"/>
      <c r="V20" s="71"/>
      <c r="W20" s="68"/>
      <c r="X20" s="72"/>
      <c r="Y20" s="74"/>
      <c r="Z20" s="65"/>
      <c r="AA20" s="66"/>
      <c r="AB20" s="67"/>
      <c r="AC20" s="68"/>
      <c r="AD20" s="69">
        <v>1</v>
      </c>
      <c r="AE20" s="70"/>
      <c r="AF20" s="67"/>
      <c r="AG20" s="71"/>
      <c r="AH20" s="68"/>
      <c r="AI20" s="72"/>
      <c r="AJ20" s="74"/>
      <c r="AK20" s="65"/>
      <c r="AL20" s="66"/>
      <c r="AM20" s="67"/>
      <c r="AN20" s="68">
        <v>1</v>
      </c>
      <c r="AO20" s="69"/>
      <c r="AP20" s="70"/>
      <c r="AQ20" s="67"/>
      <c r="AR20" s="71"/>
      <c r="AS20" s="68"/>
      <c r="AT20" s="72"/>
      <c r="AU20" s="74"/>
      <c r="AV20" s="65"/>
      <c r="AW20" s="66">
        <v>1</v>
      </c>
      <c r="AX20" s="67"/>
      <c r="AY20" s="68"/>
      <c r="AZ20" s="69"/>
      <c r="BA20" s="70"/>
      <c r="BB20" s="67"/>
      <c r="BC20" s="71"/>
      <c r="BD20" s="68"/>
      <c r="BE20" s="72"/>
      <c r="BF20" s="74"/>
      <c r="BG20" s="65">
        <v>0.5</v>
      </c>
      <c r="BH20" s="66"/>
      <c r="BI20" s="67">
        <v>1</v>
      </c>
      <c r="BJ20" s="68"/>
      <c r="BK20" s="69"/>
      <c r="BL20" s="70"/>
      <c r="BM20" s="67"/>
      <c r="BN20" s="71"/>
      <c r="BO20" s="68"/>
      <c r="BP20" s="72"/>
      <c r="BQ20" s="74"/>
      <c r="BR20" s="65"/>
      <c r="BS20" s="66"/>
      <c r="BT20" s="67"/>
      <c r="BU20" s="68">
        <v>0.5</v>
      </c>
      <c r="BV20" s="69"/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>
        <v>1</v>
      </c>
      <c r="F21" s="67"/>
      <c r="G21" s="68"/>
      <c r="H21" s="69">
        <v>1</v>
      </c>
      <c r="I21" s="70"/>
      <c r="J21" s="67"/>
      <c r="K21" s="71"/>
      <c r="L21" s="68"/>
      <c r="M21" s="72"/>
      <c r="N21" s="73"/>
      <c r="O21" s="65"/>
      <c r="P21" s="66">
        <v>0.5</v>
      </c>
      <c r="Q21" s="67"/>
      <c r="R21" s="68"/>
      <c r="S21" s="69"/>
      <c r="T21" s="70"/>
      <c r="U21" s="67"/>
      <c r="V21" s="71"/>
      <c r="W21" s="68"/>
      <c r="X21" s="72"/>
      <c r="Y21" s="73"/>
      <c r="Z21" s="65"/>
      <c r="AA21" s="66"/>
      <c r="AB21" s="67"/>
      <c r="AC21" s="68">
        <v>1</v>
      </c>
      <c r="AD21" s="69"/>
      <c r="AE21" s="70"/>
      <c r="AF21" s="67"/>
      <c r="AG21" s="71"/>
      <c r="AH21" s="68"/>
      <c r="AI21" s="72"/>
      <c r="AJ21" s="73"/>
      <c r="AK21" s="65"/>
      <c r="AL21" s="66"/>
      <c r="AM21" s="67"/>
      <c r="AN21" s="68"/>
      <c r="AO21" s="69">
        <v>1</v>
      </c>
      <c r="AP21" s="70"/>
      <c r="AQ21" s="67"/>
      <c r="AR21" s="71"/>
      <c r="AS21" s="68"/>
      <c r="AT21" s="72"/>
      <c r="AU21" s="73"/>
      <c r="AV21" s="65"/>
      <c r="AW21" s="66">
        <v>1</v>
      </c>
      <c r="AX21" s="67"/>
      <c r="AY21" s="68">
        <v>1</v>
      </c>
      <c r="AZ21" s="69"/>
      <c r="BA21" s="70"/>
      <c r="BB21" s="67"/>
      <c r="BC21" s="71"/>
      <c r="BD21" s="68"/>
      <c r="BE21" s="72"/>
      <c r="BF21" s="73"/>
      <c r="BG21" s="65"/>
      <c r="BH21" s="66"/>
      <c r="BI21" s="67"/>
      <c r="BJ21" s="68"/>
      <c r="BK21" s="69">
        <v>1</v>
      </c>
      <c r="BL21" s="70"/>
      <c r="BM21" s="67"/>
      <c r="BN21" s="71"/>
      <c r="BO21" s="68"/>
      <c r="BP21" s="72"/>
      <c r="BQ21" s="73"/>
      <c r="BR21" s="65"/>
      <c r="BS21" s="66"/>
      <c r="BT21" s="67">
        <v>1</v>
      </c>
      <c r="BU21" s="68">
        <v>1</v>
      </c>
      <c r="BV21" s="69"/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/>
      <c r="G22" s="68"/>
      <c r="H22" s="69">
        <v>1</v>
      </c>
      <c r="I22" s="70"/>
      <c r="J22" s="67"/>
      <c r="K22" s="71"/>
      <c r="L22" s="68"/>
      <c r="M22" s="72"/>
      <c r="N22" s="73"/>
      <c r="O22" s="65"/>
      <c r="P22" s="66"/>
      <c r="Q22" s="67"/>
      <c r="R22" s="68">
        <v>1</v>
      </c>
      <c r="S22" s="69"/>
      <c r="T22" s="70"/>
      <c r="U22" s="67"/>
      <c r="V22" s="71"/>
      <c r="W22" s="68"/>
      <c r="X22" s="72"/>
      <c r="Y22" s="73"/>
      <c r="Z22" s="65"/>
      <c r="AA22" s="66"/>
      <c r="AB22" s="67"/>
      <c r="AC22" s="68">
        <v>1</v>
      </c>
      <c r="AD22" s="69">
        <v>1</v>
      </c>
      <c r="AE22" s="70"/>
      <c r="AF22" s="67"/>
      <c r="AG22" s="71"/>
      <c r="AH22" s="68"/>
      <c r="AI22" s="72"/>
      <c r="AJ22" s="73"/>
      <c r="AK22" s="65"/>
      <c r="AL22" s="66"/>
      <c r="AM22" s="67"/>
      <c r="AN22" s="68">
        <v>1</v>
      </c>
      <c r="AO22" s="69">
        <v>1</v>
      </c>
      <c r="AP22" s="70"/>
      <c r="AQ22" s="67"/>
      <c r="AR22" s="71"/>
      <c r="AS22" s="68"/>
      <c r="AT22" s="72"/>
      <c r="AU22" s="73"/>
      <c r="AV22" s="65"/>
      <c r="AW22" s="66"/>
      <c r="AX22" s="67"/>
      <c r="AY22" s="68">
        <v>1</v>
      </c>
      <c r="AZ22" s="69">
        <v>1</v>
      </c>
      <c r="BA22" s="70"/>
      <c r="BB22" s="67"/>
      <c r="BC22" s="71"/>
      <c r="BD22" s="68"/>
      <c r="BE22" s="72"/>
      <c r="BF22" s="73"/>
      <c r="BG22" s="65">
        <v>1</v>
      </c>
      <c r="BH22" s="66"/>
      <c r="BI22" s="67"/>
      <c r="BJ22" s="68"/>
      <c r="BK22" s="69">
        <v>1</v>
      </c>
      <c r="BL22" s="70"/>
      <c r="BM22" s="67"/>
      <c r="BN22" s="71"/>
      <c r="BO22" s="68"/>
      <c r="BP22" s="72"/>
      <c r="BQ22" s="73"/>
      <c r="BR22" s="65"/>
      <c r="BS22" s="66"/>
      <c r="BT22" s="67">
        <v>1</v>
      </c>
      <c r="BU22" s="68"/>
      <c r="BV22" s="69">
        <v>1</v>
      </c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>
        <v>1</v>
      </c>
      <c r="E23" s="66"/>
      <c r="F23" s="67"/>
      <c r="G23" s="68"/>
      <c r="H23" s="69">
        <v>1</v>
      </c>
      <c r="I23" s="70"/>
      <c r="J23" s="67"/>
      <c r="K23" s="71"/>
      <c r="L23" s="68"/>
      <c r="M23" s="72"/>
      <c r="N23" s="73"/>
      <c r="O23" s="65"/>
      <c r="P23" s="66"/>
      <c r="Q23" s="67"/>
      <c r="R23" s="68">
        <v>1</v>
      </c>
      <c r="S23" s="69"/>
      <c r="T23" s="70"/>
      <c r="U23" s="67"/>
      <c r="V23" s="71"/>
      <c r="W23" s="68"/>
      <c r="X23" s="72"/>
      <c r="Y23" s="73"/>
      <c r="Z23" s="65"/>
      <c r="AA23" s="66"/>
      <c r="AB23" s="67"/>
      <c r="AC23" s="68">
        <v>1</v>
      </c>
      <c r="AD23" s="69">
        <v>1</v>
      </c>
      <c r="AE23" s="70"/>
      <c r="AF23" s="67"/>
      <c r="AG23" s="71"/>
      <c r="AH23" s="68"/>
      <c r="AI23" s="72"/>
      <c r="AJ23" s="73"/>
      <c r="AK23" s="65"/>
      <c r="AL23" s="66"/>
      <c r="AM23" s="67"/>
      <c r="AN23" s="68">
        <v>1</v>
      </c>
      <c r="AO23" s="69">
        <v>1</v>
      </c>
      <c r="AP23" s="70"/>
      <c r="AQ23" s="67"/>
      <c r="AR23" s="71"/>
      <c r="AS23" s="68"/>
      <c r="AT23" s="72"/>
      <c r="AU23" s="73"/>
      <c r="AV23" s="65"/>
      <c r="AW23" s="66"/>
      <c r="AX23" s="67"/>
      <c r="AY23" s="68">
        <v>1</v>
      </c>
      <c r="AZ23" s="69"/>
      <c r="BA23" s="70"/>
      <c r="BB23" s="67"/>
      <c r="BC23" s="71"/>
      <c r="BD23" s="68"/>
      <c r="BE23" s="72"/>
      <c r="BF23" s="73"/>
      <c r="BG23" s="65">
        <v>1</v>
      </c>
      <c r="BH23" s="66">
        <v>0.5</v>
      </c>
      <c r="BI23" s="67"/>
      <c r="BJ23" s="68"/>
      <c r="BK23" s="69">
        <v>1</v>
      </c>
      <c r="BL23" s="70"/>
      <c r="BM23" s="67"/>
      <c r="BN23" s="71"/>
      <c r="BO23" s="68"/>
      <c r="BP23" s="72"/>
      <c r="BQ23" s="73"/>
      <c r="BR23" s="65"/>
      <c r="BS23" s="66"/>
      <c r="BT23" s="67">
        <v>1</v>
      </c>
      <c r="BU23" s="68">
        <v>1</v>
      </c>
      <c r="BV23" s="69"/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>
        <v>1</v>
      </c>
      <c r="E24" s="66"/>
      <c r="F24" s="67"/>
      <c r="G24" s="68"/>
      <c r="H24" s="69">
        <v>1</v>
      </c>
      <c r="I24" s="70"/>
      <c r="J24" s="67"/>
      <c r="K24" s="71"/>
      <c r="L24" s="68"/>
      <c r="M24" s="72"/>
      <c r="N24" s="73"/>
      <c r="O24" s="65"/>
      <c r="P24" s="66"/>
      <c r="Q24" s="67">
        <v>1</v>
      </c>
      <c r="R24" s="68">
        <v>1</v>
      </c>
      <c r="S24" s="69"/>
      <c r="T24" s="70"/>
      <c r="U24" s="67"/>
      <c r="V24" s="71"/>
      <c r="W24" s="68"/>
      <c r="X24" s="72"/>
      <c r="Y24" s="73"/>
      <c r="Z24" s="65">
        <v>0.5</v>
      </c>
      <c r="AA24" s="66"/>
      <c r="AB24" s="67"/>
      <c r="AC24" s="68"/>
      <c r="AD24" s="69">
        <v>1</v>
      </c>
      <c r="AE24" s="70"/>
      <c r="AF24" s="67"/>
      <c r="AG24" s="71"/>
      <c r="AH24" s="68"/>
      <c r="AI24" s="72"/>
      <c r="AJ24" s="73"/>
      <c r="AK24" s="65">
        <v>1</v>
      </c>
      <c r="AL24" s="66"/>
      <c r="AM24" s="67"/>
      <c r="AN24" s="68">
        <v>1</v>
      </c>
      <c r="AO24" s="69">
        <v>1</v>
      </c>
      <c r="AP24" s="70"/>
      <c r="AQ24" s="67"/>
      <c r="AR24" s="71"/>
      <c r="AS24" s="68"/>
      <c r="AT24" s="72"/>
      <c r="AU24" s="73"/>
      <c r="AV24" s="65"/>
      <c r="AW24" s="66"/>
      <c r="AX24" s="67"/>
      <c r="AY24" s="68">
        <v>1</v>
      </c>
      <c r="AZ24" s="69">
        <v>1</v>
      </c>
      <c r="BA24" s="70"/>
      <c r="BB24" s="67"/>
      <c r="BC24" s="71"/>
      <c r="BD24" s="68"/>
      <c r="BE24" s="72"/>
      <c r="BF24" s="73"/>
      <c r="BG24" s="65">
        <v>1</v>
      </c>
      <c r="BH24" s="66">
        <v>1</v>
      </c>
      <c r="BI24" s="67"/>
      <c r="BJ24" s="68">
        <v>1</v>
      </c>
      <c r="BK24" s="69"/>
      <c r="BL24" s="70"/>
      <c r="BM24" s="67"/>
      <c r="BN24" s="71"/>
      <c r="BO24" s="68"/>
      <c r="BP24" s="72"/>
      <c r="BQ24" s="73"/>
      <c r="BR24" s="65"/>
      <c r="BS24" s="66"/>
      <c r="BT24" s="67">
        <v>1</v>
      </c>
      <c r="BU24" s="68">
        <v>1</v>
      </c>
      <c r="BV24" s="69">
        <v>1</v>
      </c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>
        <v>1</v>
      </c>
      <c r="E25" s="66"/>
      <c r="F25" s="67"/>
      <c r="G25" s="68"/>
      <c r="H25" s="69">
        <v>1</v>
      </c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>
        <v>1</v>
      </c>
      <c r="S25" s="69"/>
      <c r="T25" s="70"/>
      <c r="U25" s="67"/>
      <c r="V25" s="71"/>
      <c r="W25" s="68"/>
      <c r="X25" s="72"/>
      <c r="Y25" s="73"/>
      <c r="Z25" s="65">
        <v>1</v>
      </c>
      <c r="AA25" s="66"/>
      <c r="AB25" s="67"/>
      <c r="AC25" s="68"/>
      <c r="AD25" s="69">
        <v>1</v>
      </c>
      <c r="AE25" s="70"/>
      <c r="AF25" s="67"/>
      <c r="AG25" s="71"/>
      <c r="AH25" s="68"/>
      <c r="AI25" s="72"/>
      <c r="AJ25" s="73"/>
      <c r="AK25" s="65">
        <v>1</v>
      </c>
      <c r="AL25" s="66"/>
      <c r="AM25" s="67"/>
      <c r="AN25" s="68">
        <v>1</v>
      </c>
      <c r="AO25" s="69"/>
      <c r="AP25" s="70"/>
      <c r="AQ25" s="67"/>
      <c r="AR25" s="71"/>
      <c r="AS25" s="68"/>
      <c r="AT25" s="72"/>
      <c r="AU25" s="73"/>
      <c r="AV25" s="65"/>
      <c r="AW25" s="66"/>
      <c r="AX25" s="67">
        <v>1</v>
      </c>
      <c r="AY25" s="68">
        <v>1</v>
      </c>
      <c r="AZ25" s="69">
        <v>1</v>
      </c>
      <c r="BA25" s="70"/>
      <c r="BB25" s="67"/>
      <c r="BC25" s="71"/>
      <c r="BD25" s="68"/>
      <c r="BE25" s="72"/>
      <c r="BF25" s="73"/>
      <c r="BG25" s="65">
        <v>1</v>
      </c>
      <c r="BH25" s="66">
        <v>1</v>
      </c>
      <c r="BI25" s="67"/>
      <c r="BJ25" s="68">
        <v>1</v>
      </c>
      <c r="BK25" s="69"/>
      <c r="BL25" s="70"/>
      <c r="BM25" s="67"/>
      <c r="BN25" s="71"/>
      <c r="BO25" s="68"/>
      <c r="BP25" s="72"/>
      <c r="BQ25" s="73"/>
      <c r="BR25" s="65"/>
      <c r="BS25" s="66"/>
      <c r="BT25" s="67"/>
      <c r="BU25" s="68">
        <v>1</v>
      </c>
      <c r="BV25" s="69">
        <v>1</v>
      </c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>
        <v>1</v>
      </c>
      <c r="E26" s="66"/>
      <c r="F26" s="67"/>
      <c r="G26" s="68"/>
      <c r="H26" s="69">
        <v>1</v>
      </c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>
        <v>1</v>
      </c>
      <c r="S26" s="69"/>
      <c r="T26" s="70"/>
      <c r="U26" s="67"/>
      <c r="V26" s="71"/>
      <c r="W26" s="68"/>
      <c r="X26" s="72"/>
      <c r="Y26" s="73"/>
      <c r="Z26" s="65">
        <v>1</v>
      </c>
      <c r="AA26" s="66"/>
      <c r="AB26" s="67"/>
      <c r="AC26" s="68"/>
      <c r="AD26" s="69">
        <v>1</v>
      </c>
      <c r="AE26" s="70"/>
      <c r="AF26" s="67"/>
      <c r="AG26" s="71"/>
      <c r="AH26" s="68"/>
      <c r="AI26" s="72"/>
      <c r="AJ26" s="73"/>
      <c r="AK26" s="65">
        <v>1</v>
      </c>
      <c r="AL26" s="66"/>
      <c r="AM26" s="67"/>
      <c r="AN26" s="68">
        <v>1</v>
      </c>
      <c r="AO26" s="69"/>
      <c r="AP26" s="70"/>
      <c r="AQ26" s="67"/>
      <c r="AR26" s="71"/>
      <c r="AS26" s="68"/>
      <c r="AT26" s="72"/>
      <c r="AU26" s="73"/>
      <c r="AV26" s="65"/>
      <c r="AW26" s="66"/>
      <c r="AX26" s="67">
        <v>1</v>
      </c>
      <c r="AY26" s="68"/>
      <c r="AZ26" s="69">
        <v>1</v>
      </c>
      <c r="BA26" s="70"/>
      <c r="BB26" s="67"/>
      <c r="BC26" s="71"/>
      <c r="BD26" s="68"/>
      <c r="BE26" s="72"/>
      <c r="BF26" s="73"/>
      <c r="BG26" s="65">
        <v>1</v>
      </c>
      <c r="BH26" s="66">
        <v>1</v>
      </c>
      <c r="BI26" s="67"/>
      <c r="BJ26" s="68">
        <v>1</v>
      </c>
      <c r="BK26" s="69"/>
      <c r="BL26" s="70"/>
      <c r="BM26" s="67"/>
      <c r="BN26" s="71"/>
      <c r="BO26" s="68"/>
      <c r="BP26" s="72"/>
      <c r="BQ26" s="73"/>
      <c r="BR26" s="65"/>
      <c r="BS26" s="66"/>
      <c r="BT26" s="67"/>
      <c r="BU26" s="68">
        <v>1</v>
      </c>
      <c r="BV26" s="69">
        <v>1</v>
      </c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>
        <v>1</v>
      </c>
      <c r="E27" s="66"/>
      <c r="F27" s="67"/>
      <c r="G27" s="68"/>
      <c r="H27" s="69">
        <v>1</v>
      </c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>
        <v>1</v>
      </c>
      <c r="S27" s="69"/>
      <c r="T27" s="70"/>
      <c r="U27" s="67"/>
      <c r="V27" s="71"/>
      <c r="W27" s="68"/>
      <c r="X27" s="72"/>
      <c r="Y27" s="73"/>
      <c r="Z27" s="65">
        <v>1</v>
      </c>
      <c r="AA27" s="66"/>
      <c r="AB27" s="67"/>
      <c r="AC27" s="68"/>
      <c r="AD27" s="69">
        <v>1</v>
      </c>
      <c r="AE27" s="70"/>
      <c r="AF27" s="67"/>
      <c r="AG27" s="71"/>
      <c r="AH27" s="68"/>
      <c r="AI27" s="72"/>
      <c r="AJ27" s="73"/>
      <c r="AK27" s="65">
        <v>1</v>
      </c>
      <c r="AL27" s="66"/>
      <c r="AM27" s="67"/>
      <c r="AN27" s="68">
        <v>1</v>
      </c>
      <c r="AO27" s="69"/>
      <c r="AP27" s="70"/>
      <c r="AQ27" s="67"/>
      <c r="AR27" s="71"/>
      <c r="AS27" s="68"/>
      <c r="AT27" s="72"/>
      <c r="AU27" s="73"/>
      <c r="AV27" s="65"/>
      <c r="AW27" s="66"/>
      <c r="AX27" s="67">
        <v>1</v>
      </c>
      <c r="AY27" s="68"/>
      <c r="AZ27" s="69">
        <v>1</v>
      </c>
      <c r="BA27" s="70"/>
      <c r="BB27" s="67"/>
      <c r="BC27" s="71"/>
      <c r="BD27" s="68"/>
      <c r="BE27" s="72"/>
      <c r="BF27" s="73"/>
      <c r="BG27" s="65">
        <v>1</v>
      </c>
      <c r="BH27" s="66">
        <v>1</v>
      </c>
      <c r="BI27" s="67"/>
      <c r="BJ27" s="68">
        <v>1</v>
      </c>
      <c r="BK27" s="69"/>
      <c r="BL27" s="70"/>
      <c r="BM27" s="67"/>
      <c r="BN27" s="71"/>
      <c r="BO27" s="68"/>
      <c r="BP27" s="72"/>
      <c r="BQ27" s="73"/>
      <c r="BR27" s="65"/>
      <c r="BS27" s="66"/>
      <c r="BT27" s="67"/>
      <c r="BU27" s="68">
        <v>1</v>
      </c>
      <c r="BV27" s="69">
        <v>1</v>
      </c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>
        <v>1</v>
      </c>
      <c r="E28" s="66"/>
      <c r="F28" s="67"/>
      <c r="G28" s="68"/>
      <c r="H28" s="69">
        <v>1</v>
      </c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>
        <v>1</v>
      </c>
      <c r="S28" s="69"/>
      <c r="T28" s="70"/>
      <c r="U28" s="67"/>
      <c r="V28" s="71"/>
      <c r="W28" s="68"/>
      <c r="X28" s="72"/>
      <c r="Y28" s="73"/>
      <c r="Z28" s="65">
        <v>1</v>
      </c>
      <c r="AA28" s="66"/>
      <c r="AB28" s="67"/>
      <c r="AC28" s="68"/>
      <c r="AD28" s="69">
        <v>1</v>
      </c>
      <c r="AE28" s="70"/>
      <c r="AF28" s="67"/>
      <c r="AG28" s="71"/>
      <c r="AH28" s="68"/>
      <c r="AI28" s="72"/>
      <c r="AJ28" s="73"/>
      <c r="AK28" s="65">
        <v>1</v>
      </c>
      <c r="AL28" s="66"/>
      <c r="AM28" s="67"/>
      <c r="AN28" s="68">
        <v>1</v>
      </c>
      <c r="AO28" s="71"/>
      <c r="AP28" s="71"/>
      <c r="AQ28" s="71"/>
      <c r="AR28" s="71"/>
      <c r="AS28" s="68"/>
      <c r="AT28" s="72"/>
      <c r="AU28" s="73"/>
      <c r="AV28" s="65"/>
      <c r="AW28" s="66"/>
      <c r="AX28" s="67">
        <v>1</v>
      </c>
      <c r="AY28" s="68"/>
      <c r="AZ28" s="69">
        <v>1</v>
      </c>
      <c r="BA28" s="70"/>
      <c r="BB28" s="67"/>
      <c r="BC28" s="71"/>
      <c r="BD28" s="68"/>
      <c r="BE28" s="72"/>
      <c r="BF28" s="73"/>
      <c r="BG28" s="65">
        <v>1</v>
      </c>
      <c r="BH28" s="66">
        <v>1</v>
      </c>
      <c r="BI28" s="67"/>
      <c r="BJ28" s="68">
        <v>1</v>
      </c>
      <c r="BK28" s="69"/>
      <c r="BL28" s="70"/>
      <c r="BM28" s="67"/>
      <c r="BN28" s="71"/>
      <c r="BO28" s="68"/>
      <c r="BP28" s="72"/>
      <c r="BQ28" s="73"/>
      <c r="BR28" s="65"/>
      <c r="BS28" s="66"/>
      <c r="BT28" s="67"/>
      <c r="BU28" s="68">
        <v>1</v>
      </c>
      <c r="BV28" s="69">
        <v>1</v>
      </c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22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23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24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25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26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27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28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SOFIA</v>
      </c>
      <c r="E33" s="31" t="str">
        <f t="shared" si="0"/>
        <v>ANAHY</v>
      </c>
      <c r="F33" s="32" t="str">
        <f t="shared" si="0"/>
        <v>MICHAEL</v>
      </c>
      <c r="G33" s="33" t="str">
        <f t="shared" si="0"/>
        <v>LINDSAY</v>
      </c>
      <c r="H33" s="34" t="str">
        <f t="shared" si="0"/>
        <v>MILA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SOFIA</v>
      </c>
      <c r="P33" s="31" t="str">
        <f t="shared" si="1"/>
        <v>ANAHY</v>
      </c>
      <c r="Q33" s="32" t="str">
        <f t="shared" si="1"/>
        <v>MICHAEL</v>
      </c>
      <c r="R33" s="33" t="str">
        <f t="shared" si="1"/>
        <v>LINDSAY</v>
      </c>
      <c r="S33" s="34" t="str">
        <f t="shared" si="1"/>
        <v>MILA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SOFIA</v>
      </c>
      <c r="AA33" s="31" t="str">
        <f t="shared" si="2"/>
        <v>ANAHY</v>
      </c>
      <c r="AB33" s="32" t="str">
        <f t="shared" si="2"/>
        <v>MICHAEL</v>
      </c>
      <c r="AC33" s="33" t="str">
        <f t="shared" si="2"/>
        <v>LINDSAY</v>
      </c>
      <c r="AD33" s="34" t="str">
        <f t="shared" si="2"/>
        <v>MILA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SOFIA</v>
      </c>
      <c r="AL33" s="31" t="str">
        <f t="shared" si="3"/>
        <v>ANAHY</v>
      </c>
      <c r="AM33" s="32" t="str">
        <f t="shared" si="3"/>
        <v>MICHAEL</v>
      </c>
      <c r="AN33" s="33" t="str">
        <f t="shared" si="3"/>
        <v>LINDSAY</v>
      </c>
      <c r="AO33" s="34" t="str">
        <f t="shared" si="3"/>
        <v>MILA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SOFIA</v>
      </c>
      <c r="AW33" s="31" t="str">
        <f t="shared" si="4"/>
        <v>ANAHY</v>
      </c>
      <c r="AX33" s="32" t="str">
        <f t="shared" si="4"/>
        <v>MICHAEL</v>
      </c>
      <c r="AY33" s="33" t="str">
        <f t="shared" si="4"/>
        <v>LINDSAY</v>
      </c>
      <c r="AZ33" s="34" t="str">
        <f t="shared" si="4"/>
        <v>MILA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SOFIA</v>
      </c>
      <c r="BH33" s="31" t="str">
        <f t="shared" si="5"/>
        <v>ANAHY</v>
      </c>
      <c r="BI33" s="32" t="str">
        <f t="shared" si="5"/>
        <v>MICHAEL</v>
      </c>
      <c r="BJ33" s="33" t="str">
        <f t="shared" si="5"/>
        <v>LINDSAY</v>
      </c>
      <c r="BK33" s="34" t="str">
        <f t="shared" si="5"/>
        <v>MILA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SOFIA</v>
      </c>
      <c r="BS33" s="31" t="str">
        <f t="shared" si="6"/>
        <v>ANAHY</v>
      </c>
      <c r="BT33" s="32" t="str">
        <f t="shared" si="6"/>
        <v>MICHAEL</v>
      </c>
      <c r="BU33" s="33" t="str">
        <f t="shared" si="6"/>
        <v>LINDSAY</v>
      </c>
      <c r="BV33" s="34" t="str">
        <f t="shared" si="6"/>
        <v>MILA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6</v>
      </c>
      <c r="E34" s="48">
        <f t="shared" ref="E34:M34" si="7">SUM(E7:E30)</f>
        <v>5</v>
      </c>
      <c r="F34" s="49">
        <f t="shared" si="7"/>
        <v>0</v>
      </c>
      <c r="G34" s="50">
        <f t="shared" si="7"/>
        <v>1.5</v>
      </c>
      <c r="H34" s="51">
        <f t="shared" si="7"/>
        <v>10</v>
      </c>
      <c r="I34" s="52">
        <f t="shared" si="7"/>
        <v>0.5</v>
      </c>
      <c r="J34" s="49">
        <f t="shared" si="7"/>
        <v>0.5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0</v>
      </c>
      <c r="P34" s="48">
        <f t="shared" si="8"/>
        <v>4.5</v>
      </c>
      <c r="Q34" s="49">
        <f t="shared" si="8"/>
        <v>5</v>
      </c>
      <c r="R34" s="50">
        <f t="shared" si="8"/>
        <v>9.5</v>
      </c>
      <c r="S34" s="51">
        <f t="shared" si="8"/>
        <v>1.5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4.5</v>
      </c>
      <c r="AA34" s="48">
        <f t="shared" si="9"/>
        <v>1.5</v>
      </c>
      <c r="AB34" s="49">
        <f t="shared" si="9"/>
        <v>1.5</v>
      </c>
      <c r="AC34" s="50">
        <f t="shared" si="9"/>
        <v>7.5</v>
      </c>
      <c r="AD34" s="51">
        <f t="shared" si="9"/>
        <v>9.5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5.5</v>
      </c>
      <c r="AL34" s="48">
        <f t="shared" si="10"/>
        <v>0.5</v>
      </c>
      <c r="AM34" s="49">
        <f t="shared" si="10"/>
        <v>0.5</v>
      </c>
      <c r="AN34" s="50">
        <f t="shared" si="10"/>
        <v>8.5</v>
      </c>
      <c r="AO34" s="51">
        <f t="shared" si="10"/>
        <v>7.5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0</v>
      </c>
      <c r="AW34" s="48">
        <f t="shared" si="11"/>
        <v>5</v>
      </c>
      <c r="AX34" s="49">
        <f t="shared" si="11"/>
        <v>4</v>
      </c>
      <c r="AY34" s="50">
        <f t="shared" si="11"/>
        <v>7</v>
      </c>
      <c r="AZ34" s="51">
        <f t="shared" si="11"/>
        <v>6</v>
      </c>
      <c r="BA34" s="52">
        <f t="shared" si="11"/>
        <v>0.5</v>
      </c>
      <c r="BB34" s="49">
        <f t="shared" si="11"/>
        <v>0.5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7.5</v>
      </c>
      <c r="BH34" s="48">
        <f t="shared" si="12"/>
        <v>7</v>
      </c>
      <c r="BI34" s="49">
        <f t="shared" si="12"/>
        <v>5.5</v>
      </c>
      <c r="BJ34" s="50">
        <f t="shared" si="12"/>
        <v>6.5</v>
      </c>
      <c r="BK34" s="51">
        <f t="shared" si="12"/>
        <v>7.5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0</v>
      </c>
      <c r="BS34" s="48">
        <f t="shared" si="13"/>
        <v>0</v>
      </c>
      <c r="BT34" s="49">
        <f t="shared" si="13"/>
        <v>7</v>
      </c>
      <c r="BU34" s="50">
        <f t="shared" si="13"/>
        <v>7.5</v>
      </c>
      <c r="BV34" s="51">
        <f t="shared" si="13"/>
        <v>6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42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23.5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36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23.5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37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23.5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48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39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48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1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1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  <mergeCell ref="B41:J41"/>
    <mergeCell ref="L41:N41"/>
    <mergeCell ref="B42:J42"/>
    <mergeCell ref="L42:N42"/>
    <mergeCell ref="B43:J43"/>
    <mergeCell ref="L43:N43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</mergeCells>
  <conditionalFormatting sqref="D7:M14 D29:M30">
    <cfRule type="expression" dxfId="146" priority="14">
      <formula>IF(OR(D7=0,D7=""),TRUE(),FALSE())</formula>
    </cfRule>
  </conditionalFormatting>
  <conditionalFormatting sqref="D15:M28">
    <cfRule type="expression" dxfId="145" priority="13">
      <formula>IF(OR(D15=0,D15=""),TRUE(),FALSE())</formula>
    </cfRule>
  </conditionalFormatting>
  <conditionalFormatting sqref="O7:X14 O29:X30">
    <cfRule type="expression" dxfId="144" priority="12">
      <formula>IF(OR(O7=0,O7=""),TRUE(),FALSE())</formula>
    </cfRule>
  </conditionalFormatting>
  <conditionalFormatting sqref="O15:X28">
    <cfRule type="expression" dxfId="143" priority="11">
      <formula>IF(OR(O15=0,O15=""),TRUE(),FALSE())</formula>
    </cfRule>
  </conditionalFormatting>
  <conditionalFormatting sqref="Z7:AI14 Z29:AI30">
    <cfRule type="expression" dxfId="142" priority="10">
      <formula>IF(OR(Z7=0,Z7=""),TRUE(),FALSE())</formula>
    </cfRule>
  </conditionalFormatting>
  <conditionalFormatting sqref="Z15:AI28">
    <cfRule type="expression" dxfId="141" priority="9">
      <formula>IF(OR(Z15=0,Z15=""),TRUE(),FALSE())</formula>
    </cfRule>
  </conditionalFormatting>
  <conditionalFormatting sqref="AK7:AT14 AK29:AT30">
    <cfRule type="expression" dxfId="140" priority="8">
      <formula>IF(OR(AK7=0,AK7=""),TRUE(),FALSE())</formula>
    </cfRule>
  </conditionalFormatting>
  <conditionalFormatting sqref="AK15:AT28">
    <cfRule type="expression" dxfId="139" priority="7">
      <formula>IF(OR(AK15=0,AK15=""),TRUE(),FALSE())</formula>
    </cfRule>
  </conditionalFormatting>
  <conditionalFormatting sqref="AV7:BE14 AV29:BE30">
    <cfRule type="expression" dxfId="138" priority="6">
      <formula>IF(OR(AV7=0,AV7=""),TRUE(),FALSE())</formula>
    </cfRule>
  </conditionalFormatting>
  <conditionalFormatting sqref="AV15:BE28">
    <cfRule type="expression" dxfId="137" priority="5">
      <formula>IF(OR(AV15=0,AV15=""),TRUE(),FALSE())</formula>
    </cfRule>
  </conditionalFormatting>
  <conditionalFormatting sqref="BG7:BP14 BG29:BP30">
    <cfRule type="expression" dxfId="136" priority="4">
      <formula>IF(OR(BG7=0,BG7=""),TRUE(),FALSE())</formula>
    </cfRule>
  </conditionalFormatting>
  <conditionalFormatting sqref="BG15:BP28">
    <cfRule type="expression" dxfId="135" priority="3">
      <formula>IF(OR(BG15=0,BG15=""),TRUE(),FALSE())</formula>
    </cfRule>
  </conditionalFormatting>
  <conditionalFormatting sqref="BR7:CA14 BR29:CA30">
    <cfRule type="expression" dxfId="134" priority="2">
      <formula>IF(OR(BR7=0,BR7=""),TRUE(),FALSE())</formula>
    </cfRule>
  </conditionalFormatting>
  <conditionalFormatting sqref="BR15:CA28">
    <cfRule type="expression" dxfId="133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E0EA2FD6-075D-44A3-AB58-216140DAA56B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B61D1-55B8-491F-9858-D33C4AFC0140}">
  <sheetPr codeName="Hoja19"/>
  <dimension ref="A1:CA48"/>
  <sheetViews>
    <sheetView showGridLines="0" zoomScale="55" zoomScaleNormal="55" workbookViewId="0">
      <selection activeCell="AL30" sqref="AL30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29 DE JUNIO AL 05 DE JULIO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46202</v>
      </c>
      <c r="D5" s="63" t="str">
        <f>CONCATENATE("Lunes ",TEXT(DAY(C5),"00"))</f>
        <v>Lunes 29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30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01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02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03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04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05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41</v>
      </c>
      <c r="E6" s="9" t="s">
        <v>33</v>
      </c>
      <c r="F6" s="10" t="s">
        <v>31</v>
      </c>
      <c r="G6" s="11" t="s">
        <v>21</v>
      </c>
      <c r="H6" s="12" t="s">
        <v>13</v>
      </c>
      <c r="I6" s="13"/>
      <c r="J6" s="10"/>
      <c r="K6" s="14"/>
      <c r="L6" s="11"/>
      <c r="M6" s="15"/>
      <c r="O6" s="8" t="str">
        <f>D6</f>
        <v>SOFIA</v>
      </c>
      <c r="P6" s="9" t="str">
        <f>E6</f>
        <v>ANAHY</v>
      </c>
      <c r="Q6" s="10" t="str">
        <f>F6</f>
        <v>MICHAEL</v>
      </c>
      <c r="R6" s="11" t="str">
        <f>G6</f>
        <v>LINDSAY</v>
      </c>
      <c r="S6" s="12" t="str">
        <f>H6</f>
        <v>MILA</v>
      </c>
      <c r="T6" s="13"/>
      <c r="U6" s="10"/>
      <c r="V6" s="14"/>
      <c r="W6" s="11"/>
      <c r="X6" s="15"/>
      <c r="Z6" s="8"/>
      <c r="AA6" s="9" t="s">
        <v>33</v>
      </c>
      <c r="AB6" s="10" t="str">
        <f>Q6</f>
        <v>MICHAEL</v>
      </c>
      <c r="AC6" s="11" t="str">
        <f>R6</f>
        <v>LINDSAY</v>
      </c>
      <c r="AD6" s="12" t="str">
        <f>H6</f>
        <v>MILA</v>
      </c>
      <c r="AE6" s="13"/>
      <c r="AF6" s="10"/>
      <c r="AG6" s="14"/>
      <c r="AH6" s="11"/>
      <c r="AI6" s="15"/>
      <c r="AK6" s="8">
        <f>Z6</f>
        <v>0</v>
      </c>
      <c r="AL6" s="9" t="str">
        <f>AA6</f>
        <v>ANAHY</v>
      </c>
      <c r="AM6" s="10" t="str">
        <f>Q6</f>
        <v>MICHAEL</v>
      </c>
      <c r="AN6" s="11" t="str">
        <f>AC6</f>
        <v>LINDSAY</v>
      </c>
      <c r="AO6" s="12" t="str">
        <f>H6</f>
        <v>MILA</v>
      </c>
      <c r="AP6" s="13"/>
      <c r="AQ6" s="10"/>
      <c r="AR6" s="14"/>
      <c r="AS6" s="11"/>
      <c r="AT6" s="15"/>
      <c r="AV6" s="8">
        <f>AK6</f>
        <v>0</v>
      </c>
      <c r="AW6" s="9" t="s">
        <v>33</v>
      </c>
      <c r="AX6" s="10" t="str">
        <f>AB6</f>
        <v>MICHAEL</v>
      </c>
      <c r="AY6" s="11" t="str">
        <f>AN6</f>
        <v>LINDSAY</v>
      </c>
      <c r="AZ6" s="12" t="str">
        <f>H6</f>
        <v>MILA</v>
      </c>
      <c r="BA6" s="13"/>
      <c r="BB6" s="10"/>
      <c r="BC6" s="14"/>
      <c r="BD6" s="11"/>
      <c r="BE6" s="15"/>
      <c r="BG6" s="8">
        <f>AV6</f>
        <v>0</v>
      </c>
      <c r="BH6" s="9" t="s">
        <v>33</v>
      </c>
      <c r="BI6" s="10" t="str">
        <f>AX6</f>
        <v>MICHAEL</v>
      </c>
      <c r="BJ6" s="11" t="str">
        <f>AC6</f>
        <v>LINDSAY</v>
      </c>
      <c r="BK6" s="12" t="str">
        <f>S6</f>
        <v>MILA</v>
      </c>
      <c r="BL6" s="13"/>
      <c r="BM6" s="10"/>
      <c r="BN6" s="14"/>
      <c r="BO6" s="11"/>
      <c r="BP6" s="15"/>
      <c r="BR6" s="8">
        <f>AV6</f>
        <v>0</v>
      </c>
      <c r="BS6" s="9" t="str">
        <f>BH6</f>
        <v>ANAHY</v>
      </c>
      <c r="BT6" s="10" t="str">
        <f>AX6</f>
        <v>MICHAEL</v>
      </c>
      <c r="BU6" s="11" t="str">
        <f>BJ6</f>
        <v>LINDSAY</v>
      </c>
      <c r="BV6" s="12" t="s">
        <v>13</v>
      </c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>
        <v>0.5</v>
      </c>
      <c r="BB14" s="18">
        <v>0.5</v>
      </c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/>
      <c r="H15" s="69"/>
      <c r="I15" s="70"/>
      <c r="J15" s="67"/>
      <c r="K15" s="71"/>
      <c r="L15" s="68"/>
      <c r="M15" s="72"/>
      <c r="N15" s="73"/>
      <c r="O15" s="65"/>
      <c r="P15" s="66"/>
      <c r="Q15" s="67"/>
      <c r="R15" s="68"/>
      <c r="S15" s="69"/>
      <c r="T15" s="70"/>
      <c r="U15" s="67"/>
      <c r="V15" s="71"/>
      <c r="W15" s="68"/>
      <c r="X15" s="72"/>
      <c r="Y15" s="73"/>
      <c r="Z15" s="65"/>
      <c r="AA15" s="66"/>
      <c r="AB15" s="67"/>
      <c r="AC15" s="68">
        <v>1</v>
      </c>
      <c r="AD15" s="69">
        <v>1</v>
      </c>
      <c r="AE15" s="70"/>
      <c r="AF15" s="67"/>
      <c r="AG15" s="71"/>
      <c r="AH15" s="68"/>
      <c r="AI15" s="72"/>
      <c r="AJ15" s="73"/>
      <c r="AK15" s="65"/>
      <c r="AL15" s="66"/>
      <c r="AM15" s="67"/>
      <c r="AN15" s="68">
        <v>1</v>
      </c>
      <c r="AO15" s="69">
        <v>1</v>
      </c>
      <c r="AP15" s="70"/>
      <c r="AQ15" s="67"/>
      <c r="AR15" s="71"/>
      <c r="AS15" s="68"/>
      <c r="AT15" s="72"/>
      <c r="AU15" s="73"/>
      <c r="AV15" s="65"/>
      <c r="AW15" s="66">
        <v>1</v>
      </c>
      <c r="AX15" s="67">
        <v>1</v>
      </c>
      <c r="AY15" s="68">
        <v>1</v>
      </c>
      <c r="AZ15" s="69">
        <v>1</v>
      </c>
      <c r="BA15" s="70"/>
      <c r="BB15" s="67"/>
      <c r="BC15" s="71"/>
      <c r="BD15" s="68"/>
      <c r="BE15" s="72"/>
      <c r="BF15" s="73"/>
      <c r="BG15" s="65"/>
      <c r="BH15" s="66"/>
      <c r="BI15" s="67"/>
      <c r="BJ15" s="68">
        <v>1</v>
      </c>
      <c r="BK15" s="69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/>
      <c r="F16" s="67"/>
      <c r="G16" s="68"/>
      <c r="H16" s="69"/>
      <c r="I16" s="70">
        <v>0.5</v>
      </c>
      <c r="J16" s="67">
        <v>0.5</v>
      </c>
      <c r="K16" s="71"/>
      <c r="L16" s="68"/>
      <c r="M16" s="72"/>
      <c r="N16" s="73"/>
      <c r="O16" s="65"/>
      <c r="P16" s="66"/>
      <c r="Q16" s="67"/>
      <c r="R16" s="68"/>
      <c r="S16" s="69"/>
      <c r="T16" s="70"/>
      <c r="U16" s="67"/>
      <c r="V16" s="71"/>
      <c r="W16" s="68"/>
      <c r="X16" s="72"/>
      <c r="Y16" s="73"/>
      <c r="Z16" s="65"/>
      <c r="AA16" s="66"/>
      <c r="AB16" s="67"/>
      <c r="AC16" s="68">
        <v>0.5</v>
      </c>
      <c r="AD16" s="69">
        <v>0.5</v>
      </c>
      <c r="AE16" s="70"/>
      <c r="AF16" s="67"/>
      <c r="AG16" s="71"/>
      <c r="AH16" s="68"/>
      <c r="AI16" s="72"/>
      <c r="AJ16" s="73"/>
      <c r="AK16" s="65"/>
      <c r="AL16" s="66"/>
      <c r="AM16" s="67"/>
      <c r="AN16" s="68">
        <v>0.5</v>
      </c>
      <c r="AO16" s="69">
        <v>0.5</v>
      </c>
      <c r="AP16" s="70"/>
      <c r="AQ16" s="67"/>
      <c r="AR16" s="71"/>
      <c r="AS16" s="68"/>
      <c r="AT16" s="72"/>
      <c r="AU16" s="73"/>
      <c r="AV16" s="65"/>
      <c r="AW16" s="66">
        <v>0.5</v>
      </c>
      <c r="AX16" s="67">
        <v>0.5</v>
      </c>
      <c r="AY16" s="68">
        <v>0.5</v>
      </c>
      <c r="AZ16" s="69">
        <v>0.5</v>
      </c>
      <c r="BA16" s="70"/>
      <c r="BB16" s="67"/>
      <c r="BC16" s="71"/>
      <c r="BD16" s="68"/>
      <c r="BE16" s="72"/>
      <c r="BF16" s="73"/>
      <c r="BG16" s="65"/>
      <c r="BH16" s="66"/>
      <c r="BI16" s="67"/>
      <c r="BJ16" s="68">
        <v>0.5</v>
      </c>
      <c r="BK16" s="69"/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>
        <v>1</v>
      </c>
      <c r="F17" s="67"/>
      <c r="G17" s="68"/>
      <c r="H17" s="69"/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/>
      <c r="S17" s="69"/>
      <c r="T17" s="70"/>
      <c r="U17" s="67"/>
      <c r="V17" s="71"/>
      <c r="W17" s="68"/>
      <c r="X17" s="72"/>
      <c r="Y17" s="73"/>
      <c r="Z17" s="65"/>
      <c r="AA17" s="66"/>
      <c r="AB17" s="67"/>
      <c r="AC17" s="68">
        <v>1</v>
      </c>
      <c r="AD17" s="69">
        <v>1</v>
      </c>
      <c r="AE17" s="70"/>
      <c r="AF17" s="67"/>
      <c r="AG17" s="71"/>
      <c r="AH17" s="68"/>
      <c r="AI17" s="72"/>
      <c r="AJ17" s="73"/>
      <c r="AK17" s="65"/>
      <c r="AL17" s="66"/>
      <c r="AM17" s="67"/>
      <c r="AN17" s="68"/>
      <c r="AO17" s="69">
        <v>1</v>
      </c>
      <c r="AP17" s="70"/>
      <c r="AQ17" s="67"/>
      <c r="AR17" s="71"/>
      <c r="AS17" s="68"/>
      <c r="AT17" s="72"/>
      <c r="AU17" s="73"/>
      <c r="AV17" s="65"/>
      <c r="AW17" s="66">
        <v>1</v>
      </c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/>
      <c r="BI17" s="67">
        <v>1</v>
      </c>
      <c r="BJ17" s="68"/>
      <c r="BK17" s="69">
        <v>1</v>
      </c>
      <c r="BL17" s="70"/>
      <c r="BM17" s="67"/>
      <c r="BN17" s="71"/>
      <c r="BO17" s="68"/>
      <c r="BP17" s="72"/>
      <c r="BQ17" s="73"/>
      <c r="BR17" s="65"/>
      <c r="BS17" s="66">
        <v>1</v>
      </c>
      <c r="BT17" s="67"/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>
        <v>1</v>
      </c>
      <c r="F18" s="67"/>
      <c r="G18" s="68"/>
      <c r="H18" s="69"/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/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>
        <v>1</v>
      </c>
      <c r="AD18" s="69">
        <v>1</v>
      </c>
      <c r="AE18" s="70"/>
      <c r="AF18" s="67"/>
      <c r="AG18" s="71"/>
      <c r="AH18" s="68"/>
      <c r="AI18" s="72"/>
      <c r="AJ18" s="73"/>
      <c r="AK18" s="65"/>
      <c r="AL18" s="66"/>
      <c r="AM18" s="67"/>
      <c r="AN18" s="68"/>
      <c r="AO18" s="69">
        <v>1</v>
      </c>
      <c r="AP18" s="70"/>
      <c r="AQ18" s="67"/>
      <c r="AR18" s="71"/>
      <c r="AS18" s="68"/>
      <c r="AT18" s="72"/>
      <c r="AU18" s="73"/>
      <c r="AV18" s="65"/>
      <c r="AW18" s="66">
        <v>1</v>
      </c>
      <c r="AX18" s="67"/>
      <c r="AY18" s="68"/>
      <c r="AZ18" s="69"/>
      <c r="BA18" s="70"/>
      <c r="BB18" s="67"/>
      <c r="BC18" s="71"/>
      <c r="BD18" s="68"/>
      <c r="BE18" s="72"/>
      <c r="BF18" s="73"/>
      <c r="BG18" s="65"/>
      <c r="BH18" s="66"/>
      <c r="BI18" s="67">
        <v>1</v>
      </c>
      <c r="BJ18" s="68"/>
      <c r="BK18" s="69">
        <v>1</v>
      </c>
      <c r="BL18" s="70"/>
      <c r="BM18" s="67"/>
      <c r="BN18" s="71"/>
      <c r="BO18" s="68"/>
      <c r="BP18" s="72"/>
      <c r="BQ18" s="73"/>
      <c r="BR18" s="65"/>
      <c r="BS18" s="66">
        <v>1</v>
      </c>
      <c r="BT18" s="67"/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>
        <v>1</v>
      </c>
      <c r="F19" s="67"/>
      <c r="G19" s="68"/>
      <c r="H19" s="69">
        <v>0.5</v>
      </c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/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>
        <v>1</v>
      </c>
      <c r="AD19" s="69">
        <v>1</v>
      </c>
      <c r="AE19" s="70"/>
      <c r="AF19" s="67"/>
      <c r="AG19" s="71"/>
      <c r="AH19" s="68"/>
      <c r="AI19" s="72"/>
      <c r="AJ19" s="73"/>
      <c r="AK19" s="65"/>
      <c r="AL19" s="66"/>
      <c r="AM19" s="67"/>
      <c r="AN19" s="68">
        <v>1</v>
      </c>
      <c r="AO19" s="69"/>
      <c r="AP19" s="70"/>
      <c r="AQ19" s="67"/>
      <c r="AR19" s="71"/>
      <c r="AS19" s="68"/>
      <c r="AT19" s="72"/>
      <c r="AU19" s="73"/>
      <c r="AV19" s="65"/>
      <c r="AW19" s="66">
        <v>1</v>
      </c>
      <c r="AX19" s="67"/>
      <c r="AY19" s="68"/>
      <c r="AZ19" s="69"/>
      <c r="BA19" s="70"/>
      <c r="BB19" s="67"/>
      <c r="BC19" s="71"/>
      <c r="BD19" s="68"/>
      <c r="BE19" s="72"/>
      <c r="BF19" s="73"/>
      <c r="BG19" s="65"/>
      <c r="BH19" s="66"/>
      <c r="BI19" s="67">
        <v>1</v>
      </c>
      <c r="BJ19" s="68"/>
      <c r="BK19" s="69">
        <v>1</v>
      </c>
      <c r="BL19" s="70"/>
      <c r="BM19" s="67"/>
      <c r="BN19" s="71"/>
      <c r="BO19" s="68"/>
      <c r="BP19" s="72"/>
      <c r="BQ19" s="73"/>
      <c r="BR19" s="65"/>
      <c r="BS19" s="66">
        <v>1</v>
      </c>
      <c r="BT19" s="67"/>
      <c r="BU19" s="68"/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>
        <v>1</v>
      </c>
      <c r="F20" s="67"/>
      <c r="G20" s="68"/>
      <c r="H20" s="69"/>
      <c r="I20" s="70"/>
      <c r="J20" s="67"/>
      <c r="K20" s="71"/>
      <c r="L20" s="68"/>
      <c r="M20" s="72"/>
      <c r="N20" s="74"/>
      <c r="O20" s="65"/>
      <c r="P20" s="66">
        <v>1</v>
      </c>
      <c r="Q20" s="67"/>
      <c r="R20" s="68"/>
      <c r="S20" s="69"/>
      <c r="T20" s="70"/>
      <c r="U20" s="67"/>
      <c r="V20" s="71"/>
      <c r="W20" s="68"/>
      <c r="X20" s="72"/>
      <c r="Y20" s="74"/>
      <c r="Z20" s="65"/>
      <c r="AA20" s="66"/>
      <c r="AB20" s="67"/>
      <c r="AC20" s="68"/>
      <c r="AD20" s="69">
        <v>1</v>
      </c>
      <c r="AE20" s="70"/>
      <c r="AF20" s="67"/>
      <c r="AG20" s="71"/>
      <c r="AH20" s="68"/>
      <c r="AI20" s="72"/>
      <c r="AJ20" s="74"/>
      <c r="AK20" s="65"/>
      <c r="AL20" s="66"/>
      <c r="AM20" s="67"/>
      <c r="AN20" s="68"/>
      <c r="AO20" s="69">
        <v>1</v>
      </c>
      <c r="AP20" s="70"/>
      <c r="AQ20" s="67"/>
      <c r="AR20" s="71"/>
      <c r="AS20" s="68"/>
      <c r="AT20" s="72"/>
      <c r="AU20" s="74"/>
      <c r="AV20" s="65"/>
      <c r="AW20" s="66">
        <v>1</v>
      </c>
      <c r="AX20" s="67"/>
      <c r="AY20" s="68">
        <v>1</v>
      </c>
      <c r="AZ20" s="69"/>
      <c r="BA20" s="70"/>
      <c r="BB20" s="67"/>
      <c r="BC20" s="71"/>
      <c r="BD20" s="68"/>
      <c r="BE20" s="72"/>
      <c r="BF20" s="74"/>
      <c r="BG20" s="65"/>
      <c r="BH20" s="66"/>
      <c r="BI20" s="67">
        <v>1</v>
      </c>
      <c r="BJ20" s="68"/>
      <c r="BK20" s="69"/>
      <c r="BL20" s="70"/>
      <c r="BM20" s="67"/>
      <c r="BN20" s="71"/>
      <c r="BO20" s="68"/>
      <c r="BP20" s="72"/>
      <c r="BQ20" s="74"/>
      <c r="BR20" s="65"/>
      <c r="BS20" s="66">
        <v>1</v>
      </c>
      <c r="BT20" s="67">
        <v>1</v>
      </c>
      <c r="BU20" s="68">
        <v>1</v>
      </c>
      <c r="BV20" s="69"/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>
        <v>1</v>
      </c>
      <c r="F21" s="67"/>
      <c r="G21" s="68"/>
      <c r="H21" s="69">
        <v>1</v>
      </c>
      <c r="I21" s="70"/>
      <c r="J21" s="67"/>
      <c r="K21" s="71"/>
      <c r="L21" s="68"/>
      <c r="M21" s="72"/>
      <c r="N21" s="73"/>
      <c r="O21" s="65"/>
      <c r="P21" s="66">
        <v>1</v>
      </c>
      <c r="Q21" s="67"/>
      <c r="R21" s="68"/>
      <c r="S21" s="69"/>
      <c r="T21" s="70"/>
      <c r="U21" s="67"/>
      <c r="V21" s="71"/>
      <c r="W21" s="68"/>
      <c r="X21" s="72"/>
      <c r="Y21" s="73"/>
      <c r="Z21" s="65"/>
      <c r="AA21" s="66"/>
      <c r="AB21" s="67"/>
      <c r="AC21" s="68">
        <v>1</v>
      </c>
      <c r="AD21" s="69"/>
      <c r="AE21" s="70"/>
      <c r="AF21" s="67"/>
      <c r="AG21" s="71"/>
      <c r="AH21" s="68"/>
      <c r="AI21" s="72"/>
      <c r="AJ21" s="73"/>
      <c r="AK21" s="65"/>
      <c r="AL21" s="66"/>
      <c r="AM21" s="67"/>
      <c r="AN21" s="68">
        <v>1</v>
      </c>
      <c r="AO21" s="69">
        <v>1</v>
      </c>
      <c r="AP21" s="70"/>
      <c r="AQ21" s="67"/>
      <c r="AR21" s="71"/>
      <c r="AS21" s="68"/>
      <c r="AT21" s="72"/>
      <c r="AU21" s="73"/>
      <c r="AV21" s="65"/>
      <c r="AW21" s="66">
        <v>0.5</v>
      </c>
      <c r="AX21" s="67"/>
      <c r="AY21" s="68"/>
      <c r="AZ21" s="69"/>
      <c r="BA21" s="70"/>
      <c r="BB21" s="67"/>
      <c r="BC21" s="71"/>
      <c r="BD21" s="68"/>
      <c r="BE21" s="72"/>
      <c r="BF21" s="73"/>
      <c r="BG21" s="65"/>
      <c r="BH21" s="66"/>
      <c r="BI21" s="67"/>
      <c r="BJ21" s="68">
        <v>1</v>
      </c>
      <c r="BK21" s="69">
        <v>1</v>
      </c>
      <c r="BL21" s="70"/>
      <c r="BM21" s="67"/>
      <c r="BN21" s="71"/>
      <c r="BO21" s="68"/>
      <c r="BP21" s="72"/>
      <c r="BQ21" s="73"/>
      <c r="BR21" s="65"/>
      <c r="BS21" s="66"/>
      <c r="BT21" s="67"/>
      <c r="BU21" s="68"/>
      <c r="BV21" s="69">
        <v>1</v>
      </c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/>
      <c r="G22" s="68"/>
      <c r="H22" s="69">
        <v>1</v>
      </c>
      <c r="I22" s="70"/>
      <c r="J22" s="67"/>
      <c r="K22" s="71"/>
      <c r="L22" s="68"/>
      <c r="M22" s="72"/>
      <c r="N22" s="73"/>
      <c r="O22" s="65"/>
      <c r="P22" s="66"/>
      <c r="Q22" s="67"/>
      <c r="R22" s="68">
        <v>1</v>
      </c>
      <c r="S22" s="69"/>
      <c r="T22" s="70"/>
      <c r="U22" s="67"/>
      <c r="V22" s="71"/>
      <c r="W22" s="68"/>
      <c r="X22" s="72"/>
      <c r="Y22" s="73"/>
      <c r="Z22" s="65"/>
      <c r="AA22" s="66"/>
      <c r="AB22" s="67"/>
      <c r="AC22" s="68">
        <v>1</v>
      </c>
      <c r="AD22" s="69">
        <v>1</v>
      </c>
      <c r="AE22" s="70"/>
      <c r="AF22" s="67"/>
      <c r="AG22" s="71"/>
      <c r="AH22" s="68"/>
      <c r="AI22" s="72"/>
      <c r="AJ22" s="73"/>
      <c r="AK22" s="65"/>
      <c r="AL22" s="66"/>
      <c r="AM22" s="67"/>
      <c r="AN22" s="68">
        <v>1</v>
      </c>
      <c r="AO22" s="69">
        <v>1</v>
      </c>
      <c r="AP22" s="70"/>
      <c r="AQ22" s="67"/>
      <c r="AR22" s="71"/>
      <c r="AS22" s="68"/>
      <c r="AT22" s="72"/>
      <c r="AU22" s="73"/>
      <c r="AV22" s="65"/>
      <c r="AW22" s="66"/>
      <c r="AX22" s="67"/>
      <c r="AY22" s="68">
        <v>1</v>
      </c>
      <c r="AZ22" s="69">
        <v>1</v>
      </c>
      <c r="BA22" s="70"/>
      <c r="BB22" s="67"/>
      <c r="BC22" s="71"/>
      <c r="BD22" s="68"/>
      <c r="BE22" s="72"/>
      <c r="BF22" s="73"/>
      <c r="BG22" s="65"/>
      <c r="BH22" s="66"/>
      <c r="BI22" s="67"/>
      <c r="BJ22" s="68"/>
      <c r="BK22" s="69">
        <v>1</v>
      </c>
      <c r="BL22" s="70"/>
      <c r="BM22" s="67"/>
      <c r="BN22" s="71"/>
      <c r="BO22" s="68"/>
      <c r="BP22" s="72"/>
      <c r="BQ22" s="73"/>
      <c r="BR22" s="65"/>
      <c r="BS22" s="66"/>
      <c r="BT22" s="67">
        <v>1</v>
      </c>
      <c r="BU22" s="68">
        <v>1</v>
      </c>
      <c r="BV22" s="69"/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>
        <v>1</v>
      </c>
      <c r="E23" s="66"/>
      <c r="F23" s="67"/>
      <c r="G23" s="68"/>
      <c r="H23" s="69">
        <v>1</v>
      </c>
      <c r="I23" s="70"/>
      <c r="J23" s="67"/>
      <c r="K23" s="71"/>
      <c r="L23" s="68"/>
      <c r="M23" s="72"/>
      <c r="N23" s="73"/>
      <c r="O23" s="65"/>
      <c r="P23" s="66"/>
      <c r="Q23" s="67"/>
      <c r="R23" s="68">
        <v>1</v>
      </c>
      <c r="S23" s="69"/>
      <c r="T23" s="70"/>
      <c r="U23" s="67"/>
      <c r="V23" s="71"/>
      <c r="W23" s="68"/>
      <c r="X23" s="72"/>
      <c r="Y23" s="73"/>
      <c r="Z23" s="65"/>
      <c r="AA23" s="66"/>
      <c r="AB23" s="67"/>
      <c r="AC23" s="68">
        <v>1</v>
      </c>
      <c r="AD23" s="69">
        <v>1</v>
      </c>
      <c r="AE23" s="70"/>
      <c r="AF23" s="67"/>
      <c r="AG23" s="71"/>
      <c r="AH23" s="68"/>
      <c r="AI23" s="72"/>
      <c r="AJ23" s="73"/>
      <c r="AK23" s="65"/>
      <c r="AL23" s="66"/>
      <c r="AM23" s="67"/>
      <c r="AN23" s="68">
        <v>1</v>
      </c>
      <c r="AO23" s="69">
        <v>1</v>
      </c>
      <c r="AP23" s="70"/>
      <c r="AQ23" s="67"/>
      <c r="AR23" s="71"/>
      <c r="AS23" s="68"/>
      <c r="AT23" s="72"/>
      <c r="AU23" s="73"/>
      <c r="AV23" s="65"/>
      <c r="AW23" s="66"/>
      <c r="AX23" s="67"/>
      <c r="AY23" s="68">
        <v>1</v>
      </c>
      <c r="AZ23" s="69"/>
      <c r="BA23" s="70"/>
      <c r="BB23" s="67"/>
      <c r="BC23" s="71"/>
      <c r="BD23" s="68"/>
      <c r="BE23" s="72"/>
      <c r="BF23" s="73"/>
      <c r="BG23" s="65"/>
      <c r="BH23" s="66"/>
      <c r="BI23" s="67"/>
      <c r="BJ23" s="68">
        <v>1</v>
      </c>
      <c r="BK23" s="69">
        <v>1</v>
      </c>
      <c r="BL23" s="70"/>
      <c r="BM23" s="67"/>
      <c r="BN23" s="71"/>
      <c r="BO23" s="68"/>
      <c r="BP23" s="72"/>
      <c r="BQ23" s="73"/>
      <c r="BR23" s="65"/>
      <c r="BS23" s="66"/>
      <c r="BT23" s="67">
        <v>1</v>
      </c>
      <c r="BU23" s="68">
        <v>1</v>
      </c>
      <c r="BV23" s="69">
        <v>1</v>
      </c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>
        <v>1</v>
      </c>
      <c r="E24" s="66"/>
      <c r="F24" s="67"/>
      <c r="G24" s="68"/>
      <c r="H24" s="69">
        <v>1</v>
      </c>
      <c r="I24" s="70"/>
      <c r="J24" s="67"/>
      <c r="K24" s="71"/>
      <c r="L24" s="68"/>
      <c r="M24" s="72"/>
      <c r="N24" s="73"/>
      <c r="O24" s="65"/>
      <c r="P24" s="66"/>
      <c r="Q24" s="67">
        <v>1</v>
      </c>
      <c r="R24" s="68">
        <v>1</v>
      </c>
      <c r="S24" s="69"/>
      <c r="T24" s="70"/>
      <c r="U24" s="67"/>
      <c r="V24" s="71"/>
      <c r="W24" s="68"/>
      <c r="X24" s="72"/>
      <c r="Y24" s="73"/>
      <c r="Z24" s="65"/>
      <c r="AA24" s="66"/>
      <c r="AB24" s="67"/>
      <c r="AC24" s="68">
        <v>1</v>
      </c>
      <c r="AD24" s="69">
        <v>1</v>
      </c>
      <c r="AE24" s="70"/>
      <c r="AF24" s="67"/>
      <c r="AG24" s="71"/>
      <c r="AH24" s="68"/>
      <c r="AI24" s="72"/>
      <c r="AJ24" s="73"/>
      <c r="AK24" s="65"/>
      <c r="AL24" s="66"/>
      <c r="AM24" s="67"/>
      <c r="AN24" s="68">
        <v>1</v>
      </c>
      <c r="AO24" s="69">
        <v>1</v>
      </c>
      <c r="AP24" s="70"/>
      <c r="AQ24" s="67"/>
      <c r="AR24" s="71"/>
      <c r="AS24" s="68"/>
      <c r="AT24" s="72"/>
      <c r="AU24" s="73"/>
      <c r="AV24" s="65"/>
      <c r="AW24" s="66"/>
      <c r="AX24" s="67"/>
      <c r="AY24" s="68">
        <v>1</v>
      </c>
      <c r="AZ24" s="69">
        <v>1</v>
      </c>
      <c r="BA24" s="70"/>
      <c r="BB24" s="67"/>
      <c r="BC24" s="71"/>
      <c r="BD24" s="68"/>
      <c r="BE24" s="72"/>
      <c r="BF24" s="73"/>
      <c r="BG24" s="65"/>
      <c r="BH24" s="66">
        <v>1</v>
      </c>
      <c r="BI24" s="67"/>
      <c r="BJ24" s="68">
        <v>1</v>
      </c>
      <c r="BK24" s="69"/>
      <c r="BL24" s="70"/>
      <c r="BM24" s="67"/>
      <c r="BN24" s="71"/>
      <c r="BO24" s="68"/>
      <c r="BP24" s="72"/>
      <c r="BQ24" s="73"/>
      <c r="BR24" s="65"/>
      <c r="BS24" s="66"/>
      <c r="BT24" s="67">
        <v>1</v>
      </c>
      <c r="BU24" s="68">
        <v>1</v>
      </c>
      <c r="BV24" s="69">
        <v>1</v>
      </c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>
        <v>1</v>
      </c>
      <c r="E25" s="66"/>
      <c r="F25" s="67"/>
      <c r="G25" s="68"/>
      <c r="H25" s="69">
        <v>1</v>
      </c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>
        <v>1</v>
      </c>
      <c r="S25" s="69"/>
      <c r="T25" s="70"/>
      <c r="U25" s="67"/>
      <c r="V25" s="71"/>
      <c r="W25" s="68"/>
      <c r="X25" s="72"/>
      <c r="Y25" s="73"/>
      <c r="Z25" s="65"/>
      <c r="AA25" s="66"/>
      <c r="AB25" s="67">
        <v>1</v>
      </c>
      <c r="AC25" s="68">
        <v>1</v>
      </c>
      <c r="AD25" s="69">
        <v>1</v>
      </c>
      <c r="AE25" s="70"/>
      <c r="AF25" s="67"/>
      <c r="AG25" s="71"/>
      <c r="AH25" s="68"/>
      <c r="AI25" s="72"/>
      <c r="AJ25" s="73"/>
      <c r="AK25" s="65"/>
      <c r="AL25" s="66"/>
      <c r="AM25" s="67"/>
      <c r="AN25" s="68">
        <v>1</v>
      </c>
      <c r="AO25" s="69">
        <v>1</v>
      </c>
      <c r="AP25" s="70"/>
      <c r="AQ25" s="67"/>
      <c r="AR25" s="71"/>
      <c r="AS25" s="68"/>
      <c r="AT25" s="72"/>
      <c r="AU25" s="73"/>
      <c r="AV25" s="65"/>
      <c r="AW25" s="66"/>
      <c r="AX25" s="67">
        <v>1</v>
      </c>
      <c r="AY25" s="68">
        <v>1</v>
      </c>
      <c r="AZ25" s="69">
        <v>1</v>
      </c>
      <c r="BA25" s="70"/>
      <c r="BB25" s="67"/>
      <c r="BC25" s="71"/>
      <c r="BD25" s="68"/>
      <c r="BE25" s="72"/>
      <c r="BF25" s="73"/>
      <c r="BG25" s="65"/>
      <c r="BH25" s="66">
        <v>1</v>
      </c>
      <c r="BI25" s="67"/>
      <c r="BJ25" s="68">
        <v>1</v>
      </c>
      <c r="BK25" s="69"/>
      <c r="BL25" s="70"/>
      <c r="BM25" s="67"/>
      <c r="BN25" s="71"/>
      <c r="BO25" s="68"/>
      <c r="BP25" s="72"/>
      <c r="BQ25" s="73"/>
      <c r="BR25" s="65"/>
      <c r="BS25" s="66"/>
      <c r="BT25" s="67">
        <v>1</v>
      </c>
      <c r="BU25" s="68">
        <v>1</v>
      </c>
      <c r="BV25" s="69">
        <v>1</v>
      </c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>
        <v>1</v>
      </c>
      <c r="E26" s="66"/>
      <c r="F26" s="67"/>
      <c r="G26" s="68"/>
      <c r="H26" s="69">
        <v>1</v>
      </c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>
        <v>1</v>
      </c>
      <c r="S26" s="69"/>
      <c r="T26" s="70"/>
      <c r="U26" s="67"/>
      <c r="V26" s="71"/>
      <c r="W26" s="68"/>
      <c r="X26" s="72"/>
      <c r="Y26" s="73"/>
      <c r="Z26" s="65"/>
      <c r="AA26" s="66"/>
      <c r="AB26" s="67">
        <v>1</v>
      </c>
      <c r="AC26" s="68">
        <v>1</v>
      </c>
      <c r="AD26" s="69">
        <v>1</v>
      </c>
      <c r="AE26" s="70"/>
      <c r="AF26" s="67"/>
      <c r="AG26" s="71"/>
      <c r="AH26" s="68"/>
      <c r="AI26" s="72"/>
      <c r="AJ26" s="73"/>
      <c r="AK26" s="65"/>
      <c r="AL26" s="66"/>
      <c r="AM26" s="67"/>
      <c r="AN26" s="68">
        <v>1</v>
      </c>
      <c r="AO26" s="69">
        <v>1</v>
      </c>
      <c r="AP26" s="70"/>
      <c r="AQ26" s="67"/>
      <c r="AR26" s="71"/>
      <c r="AS26" s="68"/>
      <c r="AT26" s="72"/>
      <c r="AU26" s="73"/>
      <c r="AV26" s="65"/>
      <c r="AW26" s="66"/>
      <c r="AX26" s="67">
        <v>1</v>
      </c>
      <c r="AY26" s="68">
        <v>1</v>
      </c>
      <c r="AZ26" s="69">
        <v>1</v>
      </c>
      <c r="BA26" s="70"/>
      <c r="BB26" s="67"/>
      <c r="BC26" s="71"/>
      <c r="BD26" s="68"/>
      <c r="BE26" s="72"/>
      <c r="BF26" s="73"/>
      <c r="BG26" s="65"/>
      <c r="BH26" s="66">
        <v>1</v>
      </c>
      <c r="BI26" s="67"/>
      <c r="BJ26" s="68">
        <v>1</v>
      </c>
      <c r="BK26" s="69"/>
      <c r="BL26" s="70"/>
      <c r="BM26" s="67"/>
      <c r="BN26" s="71"/>
      <c r="BO26" s="68"/>
      <c r="BP26" s="72"/>
      <c r="BQ26" s="73"/>
      <c r="BR26" s="65"/>
      <c r="BS26" s="66"/>
      <c r="BT26" s="67">
        <v>1</v>
      </c>
      <c r="BU26" s="68">
        <v>1</v>
      </c>
      <c r="BV26" s="69">
        <v>1</v>
      </c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>
        <v>1</v>
      </c>
      <c r="E27" s="66"/>
      <c r="F27" s="67"/>
      <c r="G27" s="68"/>
      <c r="H27" s="69">
        <v>1</v>
      </c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>
        <v>1</v>
      </c>
      <c r="S27" s="69"/>
      <c r="T27" s="70"/>
      <c r="U27" s="67"/>
      <c r="V27" s="71"/>
      <c r="W27" s="68"/>
      <c r="X27" s="72"/>
      <c r="Y27" s="73"/>
      <c r="Z27" s="65"/>
      <c r="AA27" s="66"/>
      <c r="AB27" s="67">
        <v>1</v>
      </c>
      <c r="AC27" s="68"/>
      <c r="AD27" s="69">
        <v>1</v>
      </c>
      <c r="AE27" s="70"/>
      <c r="AF27" s="67"/>
      <c r="AG27" s="71"/>
      <c r="AH27" s="68"/>
      <c r="AI27" s="72"/>
      <c r="AJ27" s="73"/>
      <c r="AK27" s="65"/>
      <c r="AL27" s="66"/>
      <c r="AM27" s="67"/>
      <c r="AN27" s="68">
        <v>1</v>
      </c>
      <c r="AO27" s="69">
        <v>0.5</v>
      </c>
      <c r="AP27" s="70"/>
      <c r="AQ27" s="67"/>
      <c r="AR27" s="71"/>
      <c r="AS27" s="68"/>
      <c r="AT27" s="72"/>
      <c r="AU27" s="73"/>
      <c r="AV27" s="65"/>
      <c r="AW27" s="66"/>
      <c r="AX27" s="67">
        <v>1</v>
      </c>
      <c r="AY27" s="68">
        <v>1</v>
      </c>
      <c r="AZ27" s="69">
        <v>1</v>
      </c>
      <c r="BA27" s="70"/>
      <c r="BB27" s="67"/>
      <c r="BC27" s="71"/>
      <c r="BD27" s="68"/>
      <c r="BE27" s="72"/>
      <c r="BF27" s="73"/>
      <c r="BG27" s="65"/>
      <c r="BH27" s="66">
        <v>1</v>
      </c>
      <c r="BI27" s="67"/>
      <c r="BJ27" s="68">
        <v>1</v>
      </c>
      <c r="BK27" s="69"/>
      <c r="BL27" s="70"/>
      <c r="BM27" s="67"/>
      <c r="BN27" s="71"/>
      <c r="BO27" s="68"/>
      <c r="BP27" s="72"/>
      <c r="BQ27" s="73"/>
      <c r="BR27" s="65"/>
      <c r="BS27" s="66"/>
      <c r="BT27" s="67">
        <v>1</v>
      </c>
      <c r="BU27" s="68">
        <v>1</v>
      </c>
      <c r="BV27" s="69">
        <v>1</v>
      </c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>
        <v>1</v>
      </c>
      <c r="E28" s="66"/>
      <c r="F28" s="67"/>
      <c r="G28" s="68"/>
      <c r="H28" s="69">
        <v>1</v>
      </c>
      <c r="I28" s="70"/>
      <c r="J28" s="67"/>
      <c r="K28" s="71"/>
      <c r="L28" s="68"/>
      <c r="M28" s="72"/>
      <c r="N28" s="73"/>
      <c r="O28" s="65"/>
      <c r="P28" s="66"/>
      <c r="Q28" s="67">
        <v>0.5</v>
      </c>
      <c r="R28" s="68">
        <v>1</v>
      </c>
      <c r="S28" s="69"/>
      <c r="T28" s="70"/>
      <c r="U28" s="67"/>
      <c r="V28" s="71"/>
      <c r="W28" s="68"/>
      <c r="X28" s="72"/>
      <c r="Y28" s="73"/>
      <c r="Z28" s="65"/>
      <c r="AA28" s="66"/>
      <c r="AB28" s="67">
        <v>1</v>
      </c>
      <c r="AC28" s="68"/>
      <c r="AD28" s="69">
        <v>1</v>
      </c>
      <c r="AE28" s="70"/>
      <c r="AF28" s="67"/>
      <c r="AG28" s="71"/>
      <c r="AH28" s="68"/>
      <c r="AI28" s="72"/>
      <c r="AJ28" s="73"/>
      <c r="AK28" s="65"/>
      <c r="AL28" s="66"/>
      <c r="AM28" s="67"/>
      <c r="AN28" s="68">
        <v>1</v>
      </c>
      <c r="AO28" s="71"/>
      <c r="AP28" s="71"/>
      <c r="AQ28" s="71"/>
      <c r="AR28" s="71"/>
      <c r="AS28" s="68"/>
      <c r="AT28" s="72"/>
      <c r="AU28" s="73"/>
      <c r="AV28" s="65"/>
      <c r="AW28" s="66"/>
      <c r="AX28" s="67">
        <v>1</v>
      </c>
      <c r="AY28" s="68">
        <v>1</v>
      </c>
      <c r="AZ28" s="69">
        <v>1</v>
      </c>
      <c r="BA28" s="70"/>
      <c r="BB28" s="67"/>
      <c r="BC28" s="71"/>
      <c r="BD28" s="68"/>
      <c r="BE28" s="72"/>
      <c r="BF28" s="73"/>
      <c r="BG28" s="65"/>
      <c r="BH28" s="66">
        <v>1</v>
      </c>
      <c r="BI28" s="67"/>
      <c r="BJ28" s="68">
        <v>1</v>
      </c>
      <c r="BK28" s="69"/>
      <c r="BL28" s="70"/>
      <c r="BM28" s="67"/>
      <c r="BN28" s="71"/>
      <c r="BO28" s="68"/>
      <c r="BP28" s="72"/>
      <c r="BQ28" s="73"/>
      <c r="BR28" s="65"/>
      <c r="BS28" s="66"/>
      <c r="BT28" s="67"/>
      <c r="BU28" s="68">
        <v>1</v>
      </c>
      <c r="BV28" s="69">
        <v>1</v>
      </c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29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30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01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02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03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04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05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SOFIA</v>
      </c>
      <c r="E33" s="31" t="str">
        <f t="shared" si="0"/>
        <v>ANAHY</v>
      </c>
      <c r="F33" s="32" t="str">
        <f t="shared" si="0"/>
        <v>MICHAEL</v>
      </c>
      <c r="G33" s="33" t="str">
        <f t="shared" si="0"/>
        <v>LINDSAY</v>
      </c>
      <c r="H33" s="34" t="str">
        <f t="shared" si="0"/>
        <v>MILA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SOFIA</v>
      </c>
      <c r="P33" s="31" t="str">
        <f t="shared" si="1"/>
        <v>ANAHY</v>
      </c>
      <c r="Q33" s="32" t="str">
        <f t="shared" si="1"/>
        <v>MICHAEL</v>
      </c>
      <c r="R33" s="33" t="str">
        <f t="shared" si="1"/>
        <v>LINDSAY</v>
      </c>
      <c r="S33" s="34" t="str">
        <f t="shared" si="1"/>
        <v>MILA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>
        <f t="shared" ref="Z33:AI33" si="2">+Z6</f>
        <v>0</v>
      </c>
      <c r="AA33" s="31" t="str">
        <f t="shared" si="2"/>
        <v>ANAHY</v>
      </c>
      <c r="AB33" s="32" t="str">
        <f t="shared" si="2"/>
        <v>MICHAEL</v>
      </c>
      <c r="AC33" s="33" t="str">
        <f t="shared" si="2"/>
        <v>LINDSAY</v>
      </c>
      <c r="AD33" s="34" t="str">
        <f t="shared" si="2"/>
        <v>MILA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>
        <f t="shared" ref="AK33:AT33" si="3">+AK6</f>
        <v>0</v>
      </c>
      <c r="AL33" s="31" t="str">
        <f t="shared" si="3"/>
        <v>ANAHY</v>
      </c>
      <c r="AM33" s="32" t="str">
        <f t="shared" si="3"/>
        <v>MICHAEL</v>
      </c>
      <c r="AN33" s="33" t="str">
        <f t="shared" si="3"/>
        <v>LINDSAY</v>
      </c>
      <c r="AO33" s="34" t="str">
        <f t="shared" si="3"/>
        <v>MILA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>
        <f t="shared" ref="AV33:BE33" si="4">+AV6</f>
        <v>0</v>
      </c>
      <c r="AW33" s="31" t="str">
        <f t="shared" si="4"/>
        <v>ANAHY</v>
      </c>
      <c r="AX33" s="32" t="str">
        <f t="shared" si="4"/>
        <v>MICHAEL</v>
      </c>
      <c r="AY33" s="33" t="str">
        <f t="shared" si="4"/>
        <v>LINDSAY</v>
      </c>
      <c r="AZ33" s="34" t="str">
        <f t="shared" si="4"/>
        <v>MILA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>
        <f t="shared" ref="BG33:BP33" si="5">+BG6</f>
        <v>0</v>
      </c>
      <c r="BH33" s="31" t="str">
        <f t="shared" si="5"/>
        <v>ANAHY</v>
      </c>
      <c r="BI33" s="32" t="str">
        <f t="shared" si="5"/>
        <v>MICHAEL</v>
      </c>
      <c r="BJ33" s="33" t="str">
        <f t="shared" si="5"/>
        <v>LINDSAY</v>
      </c>
      <c r="BK33" s="34" t="str">
        <f t="shared" si="5"/>
        <v>MILA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>
        <f t="shared" ref="BR33:CA33" si="6">+BR6</f>
        <v>0</v>
      </c>
      <c r="BS33" s="31" t="str">
        <f t="shared" si="6"/>
        <v>ANAHY</v>
      </c>
      <c r="BT33" s="32" t="str">
        <f t="shared" si="6"/>
        <v>MICHAEL</v>
      </c>
      <c r="BU33" s="33" t="str">
        <f t="shared" si="6"/>
        <v>LINDSAY</v>
      </c>
      <c r="BV33" s="34" t="str">
        <f t="shared" si="6"/>
        <v>MILA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6</v>
      </c>
      <c r="E34" s="48">
        <f t="shared" ref="E34:M34" si="7">SUM(E7:E30)</f>
        <v>5</v>
      </c>
      <c r="F34" s="49">
        <f t="shared" si="7"/>
        <v>0</v>
      </c>
      <c r="G34" s="50">
        <f t="shared" si="7"/>
        <v>0</v>
      </c>
      <c r="H34" s="51">
        <f t="shared" si="7"/>
        <v>8.5</v>
      </c>
      <c r="I34" s="52">
        <f t="shared" si="7"/>
        <v>0.5</v>
      </c>
      <c r="J34" s="49">
        <f t="shared" si="7"/>
        <v>0.5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0</v>
      </c>
      <c r="P34" s="48">
        <f t="shared" si="8"/>
        <v>5</v>
      </c>
      <c r="Q34" s="49">
        <f t="shared" si="8"/>
        <v>4.5</v>
      </c>
      <c r="R34" s="50">
        <f t="shared" si="8"/>
        <v>7</v>
      </c>
      <c r="S34" s="51">
        <f t="shared" si="8"/>
        <v>0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0</v>
      </c>
      <c r="AA34" s="48">
        <f t="shared" si="9"/>
        <v>0</v>
      </c>
      <c r="AB34" s="49">
        <f t="shared" si="9"/>
        <v>4</v>
      </c>
      <c r="AC34" s="50">
        <f t="shared" si="9"/>
        <v>10.5</v>
      </c>
      <c r="AD34" s="51">
        <f t="shared" si="9"/>
        <v>12.5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0</v>
      </c>
      <c r="AL34" s="48">
        <f t="shared" si="10"/>
        <v>0</v>
      </c>
      <c r="AM34" s="49">
        <f t="shared" si="10"/>
        <v>0</v>
      </c>
      <c r="AN34" s="50">
        <f t="shared" si="10"/>
        <v>10.5</v>
      </c>
      <c r="AO34" s="51">
        <f t="shared" si="10"/>
        <v>11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0</v>
      </c>
      <c r="AW34" s="48">
        <f t="shared" si="11"/>
        <v>6</v>
      </c>
      <c r="AX34" s="49">
        <f t="shared" si="11"/>
        <v>5.5</v>
      </c>
      <c r="AY34" s="50">
        <f t="shared" si="11"/>
        <v>9.5</v>
      </c>
      <c r="AZ34" s="51">
        <f t="shared" si="11"/>
        <v>7.5</v>
      </c>
      <c r="BA34" s="52">
        <f t="shared" si="11"/>
        <v>0.5</v>
      </c>
      <c r="BB34" s="49">
        <f t="shared" si="11"/>
        <v>0.5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0</v>
      </c>
      <c r="BH34" s="48">
        <f t="shared" si="12"/>
        <v>5</v>
      </c>
      <c r="BI34" s="49">
        <f t="shared" si="12"/>
        <v>4</v>
      </c>
      <c r="BJ34" s="50">
        <f t="shared" si="12"/>
        <v>8.5</v>
      </c>
      <c r="BK34" s="51">
        <f t="shared" si="12"/>
        <v>6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0</v>
      </c>
      <c r="BS34" s="48">
        <f t="shared" si="13"/>
        <v>4</v>
      </c>
      <c r="BT34" s="49">
        <f t="shared" si="13"/>
        <v>7</v>
      </c>
      <c r="BU34" s="50">
        <f t="shared" si="13"/>
        <v>8</v>
      </c>
      <c r="BV34" s="51">
        <f t="shared" si="13"/>
        <v>7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42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6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36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25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37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25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54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39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52.5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1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1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  <mergeCell ref="B41:J41"/>
    <mergeCell ref="L41:N41"/>
    <mergeCell ref="B42:J42"/>
    <mergeCell ref="L42:N42"/>
    <mergeCell ref="B43:J43"/>
    <mergeCell ref="L43:N43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</mergeCells>
  <conditionalFormatting sqref="D7:M14 D29:M30">
    <cfRule type="expression" dxfId="132" priority="14">
      <formula>IF(OR(D7=0,D7=""),TRUE(),FALSE())</formula>
    </cfRule>
  </conditionalFormatting>
  <conditionalFormatting sqref="D15:M28">
    <cfRule type="expression" dxfId="131" priority="13">
      <formula>IF(OR(D15=0,D15=""),TRUE(),FALSE())</formula>
    </cfRule>
  </conditionalFormatting>
  <conditionalFormatting sqref="O7:X14 O29:X30">
    <cfRule type="expression" dxfId="130" priority="12">
      <formula>IF(OR(O7=0,O7=""),TRUE(),FALSE())</formula>
    </cfRule>
  </conditionalFormatting>
  <conditionalFormatting sqref="O15:X28">
    <cfRule type="expression" dxfId="129" priority="11">
      <formula>IF(OR(O15=0,O15=""),TRUE(),FALSE())</formula>
    </cfRule>
  </conditionalFormatting>
  <conditionalFormatting sqref="Z7:AI14 Z29:AI30">
    <cfRule type="expression" dxfId="128" priority="10">
      <formula>IF(OR(Z7=0,Z7=""),TRUE(),FALSE())</formula>
    </cfRule>
  </conditionalFormatting>
  <conditionalFormatting sqref="Z15:AI28">
    <cfRule type="expression" dxfId="127" priority="9">
      <formula>IF(OR(Z15=0,Z15=""),TRUE(),FALSE())</formula>
    </cfRule>
  </conditionalFormatting>
  <conditionalFormatting sqref="AK7:AT14 AK29:AT30">
    <cfRule type="expression" dxfId="126" priority="8">
      <formula>IF(OR(AK7=0,AK7=""),TRUE(),FALSE())</formula>
    </cfRule>
  </conditionalFormatting>
  <conditionalFormatting sqref="AK15:AT28">
    <cfRule type="expression" dxfId="125" priority="7">
      <formula>IF(OR(AK15=0,AK15=""),TRUE(),FALSE())</formula>
    </cfRule>
  </conditionalFormatting>
  <conditionalFormatting sqref="AV7:BE14 AV29:BE30">
    <cfRule type="expression" dxfId="124" priority="6">
      <formula>IF(OR(AV7=0,AV7=""),TRUE(),FALSE())</formula>
    </cfRule>
  </conditionalFormatting>
  <conditionalFormatting sqref="AV15:BE28">
    <cfRule type="expression" dxfId="123" priority="5">
      <formula>IF(OR(AV15=0,AV15=""),TRUE(),FALSE())</formula>
    </cfRule>
  </conditionalFormatting>
  <conditionalFormatting sqref="BG7:BP14 BG29:BP30">
    <cfRule type="expression" dxfId="122" priority="4">
      <formula>IF(OR(BG7=0,BG7=""),TRUE(),FALSE())</formula>
    </cfRule>
  </conditionalFormatting>
  <conditionalFormatting sqref="BG15:BP28">
    <cfRule type="expression" dxfId="121" priority="3">
      <formula>IF(OR(BG15=0,BG15=""),TRUE(),FALSE())</formula>
    </cfRule>
  </conditionalFormatting>
  <conditionalFormatting sqref="BR7:CA14 BR29:CA30">
    <cfRule type="expression" dxfId="120" priority="2">
      <formula>IF(OR(BR7=0,BR7=""),TRUE(),FALSE())</formula>
    </cfRule>
  </conditionalFormatting>
  <conditionalFormatting sqref="BR15:CA28">
    <cfRule type="expression" dxfId="119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0D59908D-6B25-454A-87A3-05CB6870E12D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1256E-901D-4B0B-849C-80B48EBBAD69}">
  <sheetPr codeName="Hoja20"/>
  <dimension ref="A1:CA48"/>
  <sheetViews>
    <sheetView showGridLines="0" topLeftCell="B2" zoomScale="70" zoomScaleNormal="70" workbookViewId="0">
      <selection activeCell="BS25" sqref="BS25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06 DE JULIO AL 12 DE JULIO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46209</v>
      </c>
      <c r="D5" s="63" t="str">
        <f>CONCATENATE("Lunes ",TEXT(DAY(C5),"00"))</f>
        <v>Lunes 06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07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08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09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10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11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12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/>
      <c r="E6" s="9" t="s">
        <v>33</v>
      </c>
      <c r="F6" s="10" t="s">
        <v>31</v>
      </c>
      <c r="G6" s="11" t="s">
        <v>21</v>
      </c>
      <c r="H6" s="12" t="s">
        <v>13</v>
      </c>
      <c r="I6" s="13"/>
      <c r="J6" s="10"/>
      <c r="K6" s="14"/>
      <c r="L6" s="11"/>
      <c r="M6" s="15"/>
      <c r="O6" s="8">
        <f>D6</f>
        <v>0</v>
      </c>
      <c r="P6" s="9" t="str">
        <f>E6</f>
        <v>ANAHY</v>
      </c>
      <c r="Q6" s="10" t="str">
        <f>F6</f>
        <v>MICHAEL</v>
      </c>
      <c r="R6" s="11" t="str">
        <f>G6</f>
        <v>LINDSAY</v>
      </c>
      <c r="S6" s="12" t="str">
        <f>H6</f>
        <v>MILA</v>
      </c>
      <c r="T6" s="13"/>
      <c r="U6" s="10"/>
      <c r="V6" s="14"/>
      <c r="W6" s="11"/>
      <c r="X6" s="15"/>
      <c r="Z6" s="8">
        <f>O6</f>
        <v>0</v>
      </c>
      <c r="AA6" s="9" t="s">
        <v>33</v>
      </c>
      <c r="AB6" s="10" t="str">
        <f>Q6</f>
        <v>MICHAEL</v>
      </c>
      <c r="AC6" s="11" t="str">
        <f>R6</f>
        <v>LINDSAY</v>
      </c>
      <c r="AD6" s="12" t="str">
        <f>H6</f>
        <v>MILA</v>
      </c>
      <c r="AE6" s="13"/>
      <c r="AF6" s="10"/>
      <c r="AG6" s="14"/>
      <c r="AH6" s="11"/>
      <c r="AI6" s="15"/>
      <c r="AK6" s="8">
        <f>Z6</f>
        <v>0</v>
      </c>
      <c r="AL6" s="9" t="str">
        <f>AA6</f>
        <v>ANAHY</v>
      </c>
      <c r="AM6" s="10" t="str">
        <f>Q6</f>
        <v>MICHAEL</v>
      </c>
      <c r="AN6" s="11" t="str">
        <f>AC6</f>
        <v>LINDSAY</v>
      </c>
      <c r="AO6" s="12" t="str">
        <f>H6</f>
        <v>MILA</v>
      </c>
      <c r="AP6" s="13"/>
      <c r="AQ6" s="10"/>
      <c r="AR6" s="14"/>
      <c r="AS6" s="11"/>
      <c r="AT6" s="15"/>
      <c r="AV6" s="8">
        <f>AK6</f>
        <v>0</v>
      </c>
      <c r="AW6" s="9" t="s">
        <v>33</v>
      </c>
      <c r="AX6" s="10" t="str">
        <f>AB6</f>
        <v>MICHAEL</v>
      </c>
      <c r="AY6" s="11" t="str">
        <f>AN6</f>
        <v>LINDSAY</v>
      </c>
      <c r="AZ6" s="12" t="str">
        <f>H6</f>
        <v>MILA</v>
      </c>
      <c r="BA6" s="13"/>
      <c r="BB6" s="10"/>
      <c r="BC6" s="14"/>
      <c r="BD6" s="11"/>
      <c r="BE6" s="15"/>
      <c r="BG6" s="8">
        <f>AV6</f>
        <v>0</v>
      </c>
      <c r="BH6" s="9" t="s">
        <v>33</v>
      </c>
      <c r="BI6" s="10" t="str">
        <f>AX6</f>
        <v>MICHAEL</v>
      </c>
      <c r="BJ6" s="11" t="str">
        <f>AC6</f>
        <v>LINDSAY</v>
      </c>
      <c r="BK6" s="12" t="str">
        <f>S6</f>
        <v>MILA</v>
      </c>
      <c r="BL6" s="13"/>
      <c r="BM6" s="10"/>
      <c r="BN6" s="14"/>
      <c r="BO6" s="11"/>
      <c r="BP6" s="15"/>
      <c r="BR6" s="8">
        <f>AV6</f>
        <v>0</v>
      </c>
      <c r="BS6" s="9" t="str">
        <f>BH6</f>
        <v>ANAHY</v>
      </c>
      <c r="BT6" s="10" t="str">
        <f>AX6</f>
        <v>MICHAEL</v>
      </c>
      <c r="BU6" s="11" t="str">
        <f>BJ6</f>
        <v>LINDSAY</v>
      </c>
      <c r="BV6" s="12" t="s">
        <v>13</v>
      </c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>
        <v>0.5</v>
      </c>
      <c r="BB14" s="18">
        <v>0.5</v>
      </c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>
        <v>1</v>
      </c>
      <c r="F15" s="67">
        <v>1</v>
      </c>
      <c r="G15" s="68">
        <v>1</v>
      </c>
      <c r="H15" s="69">
        <v>1</v>
      </c>
      <c r="I15" s="70"/>
      <c r="J15" s="67"/>
      <c r="K15" s="71"/>
      <c r="L15" s="68"/>
      <c r="M15" s="72"/>
      <c r="N15" s="73"/>
      <c r="O15" s="65"/>
      <c r="P15" s="66">
        <v>1</v>
      </c>
      <c r="Q15" s="67">
        <v>1</v>
      </c>
      <c r="R15" s="68">
        <v>1</v>
      </c>
      <c r="S15" s="69">
        <v>1</v>
      </c>
      <c r="T15" s="70"/>
      <c r="U15" s="67"/>
      <c r="V15" s="71"/>
      <c r="W15" s="68"/>
      <c r="X15" s="72"/>
      <c r="Y15" s="73"/>
      <c r="Z15" s="65"/>
      <c r="AA15" s="66">
        <v>1</v>
      </c>
      <c r="AB15" s="67">
        <v>1</v>
      </c>
      <c r="AC15" s="68">
        <v>1</v>
      </c>
      <c r="AD15" s="69">
        <v>1</v>
      </c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>
        <v>1</v>
      </c>
      <c r="AX15" s="67">
        <v>1</v>
      </c>
      <c r="AY15" s="68">
        <v>1</v>
      </c>
      <c r="AZ15" s="69">
        <v>1</v>
      </c>
      <c r="BA15" s="70">
        <v>1</v>
      </c>
      <c r="BB15" s="67">
        <v>1</v>
      </c>
      <c r="BC15" s="71"/>
      <c r="BD15" s="68"/>
      <c r="BE15" s="72"/>
      <c r="BF15" s="73"/>
      <c r="BG15" s="65"/>
      <c r="BH15" s="66">
        <v>1</v>
      </c>
      <c r="BI15" s="67">
        <v>1</v>
      </c>
      <c r="BJ15" s="68">
        <v>1</v>
      </c>
      <c r="BK15" s="69">
        <v>1</v>
      </c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>
        <v>0.5</v>
      </c>
      <c r="F16" s="67">
        <v>0.5</v>
      </c>
      <c r="G16" s="68">
        <v>0.5</v>
      </c>
      <c r="H16" s="69">
        <v>0.5</v>
      </c>
      <c r="I16" s="70">
        <v>0.5</v>
      </c>
      <c r="J16" s="67">
        <v>0.5</v>
      </c>
      <c r="K16" s="71"/>
      <c r="L16" s="68"/>
      <c r="M16" s="72"/>
      <c r="N16" s="73"/>
      <c r="O16" s="65"/>
      <c r="P16" s="66">
        <v>0.5</v>
      </c>
      <c r="Q16" s="67">
        <v>0.5</v>
      </c>
      <c r="R16" s="68">
        <v>0.5</v>
      </c>
      <c r="S16" s="69">
        <v>0.5</v>
      </c>
      <c r="T16" s="70"/>
      <c r="U16" s="67"/>
      <c r="V16" s="71"/>
      <c r="W16" s="68"/>
      <c r="X16" s="72"/>
      <c r="Y16" s="73"/>
      <c r="Z16" s="65"/>
      <c r="AA16" s="66">
        <v>0.5</v>
      </c>
      <c r="AB16" s="67">
        <v>0.5</v>
      </c>
      <c r="AC16" s="68">
        <v>0.5</v>
      </c>
      <c r="AD16" s="69">
        <v>0.5</v>
      </c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>
        <v>0.5</v>
      </c>
      <c r="AX16" s="67">
        <v>0.5</v>
      </c>
      <c r="AY16" s="68">
        <v>0.5</v>
      </c>
      <c r="AZ16" s="69">
        <v>0.5</v>
      </c>
      <c r="BA16" s="70"/>
      <c r="BB16" s="67"/>
      <c r="BC16" s="71"/>
      <c r="BD16" s="68"/>
      <c r="BE16" s="72"/>
      <c r="BF16" s="73"/>
      <c r="BG16" s="65"/>
      <c r="BH16" s="66">
        <v>0.5</v>
      </c>
      <c r="BI16" s="67">
        <v>0.5</v>
      </c>
      <c r="BJ16" s="68">
        <v>0.5</v>
      </c>
      <c r="BK16" s="69">
        <v>0.5</v>
      </c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>
        <v>1</v>
      </c>
      <c r="F17" s="67"/>
      <c r="G17" s="68"/>
      <c r="H17" s="69"/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/>
      <c r="S17" s="69"/>
      <c r="T17" s="70"/>
      <c r="U17" s="67"/>
      <c r="V17" s="71"/>
      <c r="W17" s="68"/>
      <c r="X17" s="72"/>
      <c r="Y17" s="73"/>
      <c r="Z17" s="65"/>
      <c r="AA17" s="66"/>
      <c r="AB17" s="67"/>
      <c r="AC17" s="68">
        <v>1</v>
      </c>
      <c r="AD17" s="69"/>
      <c r="AE17" s="70"/>
      <c r="AF17" s="67"/>
      <c r="AG17" s="71"/>
      <c r="AH17" s="68"/>
      <c r="AI17" s="72"/>
      <c r="AJ17" s="73"/>
      <c r="AK17" s="65"/>
      <c r="AL17" s="66"/>
      <c r="AM17" s="67"/>
      <c r="AN17" s="68"/>
      <c r="AO17" s="69">
        <v>1</v>
      </c>
      <c r="AP17" s="70"/>
      <c r="AQ17" s="67"/>
      <c r="AR17" s="71"/>
      <c r="AS17" s="68"/>
      <c r="AT17" s="72"/>
      <c r="AU17" s="73"/>
      <c r="AV17" s="65"/>
      <c r="AW17" s="66"/>
      <c r="AX17" s="67">
        <v>1</v>
      </c>
      <c r="AY17" s="68"/>
      <c r="AZ17" s="69"/>
      <c r="BA17" s="70"/>
      <c r="BB17" s="67"/>
      <c r="BC17" s="71"/>
      <c r="BD17" s="68"/>
      <c r="BE17" s="72"/>
      <c r="BF17" s="73"/>
      <c r="BG17" s="65"/>
      <c r="BH17" s="66"/>
      <c r="BI17" s="67">
        <v>1</v>
      </c>
      <c r="BJ17" s="68"/>
      <c r="BK17" s="69">
        <v>1</v>
      </c>
      <c r="BL17" s="70"/>
      <c r="BM17" s="67"/>
      <c r="BN17" s="71"/>
      <c r="BO17" s="68"/>
      <c r="BP17" s="72"/>
      <c r="BQ17" s="73"/>
      <c r="BR17" s="65"/>
      <c r="BS17" s="66">
        <v>1</v>
      </c>
      <c r="BT17" s="67"/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>
        <v>1</v>
      </c>
      <c r="F18" s="67"/>
      <c r="G18" s="68"/>
      <c r="H18" s="69"/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/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>
        <v>1</v>
      </c>
      <c r="AD18" s="69"/>
      <c r="AE18" s="70"/>
      <c r="AF18" s="67"/>
      <c r="AG18" s="71"/>
      <c r="AH18" s="68"/>
      <c r="AI18" s="72"/>
      <c r="AJ18" s="73"/>
      <c r="AK18" s="65"/>
      <c r="AL18" s="66"/>
      <c r="AM18" s="67"/>
      <c r="AN18" s="68"/>
      <c r="AO18" s="69">
        <v>1</v>
      </c>
      <c r="AP18" s="70"/>
      <c r="AQ18" s="67"/>
      <c r="AR18" s="71"/>
      <c r="AS18" s="68"/>
      <c r="AT18" s="72"/>
      <c r="AU18" s="73"/>
      <c r="AV18" s="65"/>
      <c r="AW18" s="66"/>
      <c r="AX18" s="67">
        <v>1</v>
      </c>
      <c r="AY18" s="68"/>
      <c r="AZ18" s="69"/>
      <c r="BA18" s="70"/>
      <c r="BB18" s="67"/>
      <c r="BC18" s="71"/>
      <c r="BD18" s="68"/>
      <c r="BE18" s="72"/>
      <c r="BF18" s="73"/>
      <c r="BG18" s="65"/>
      <c r="BH18" s="66"/>
      <c r="BI18" s="67">
        <v>1</v>
      </c>
      <c r="BJ18" s="68"/>
      <c r="BK18" s="69">
        <v>1</v>
      </c>
      <c r="BL18" s="70"/>
      <c r="BM18" s="67"/>
      <c r="BN18" s="71"/>
      <c r="BO18" s="68"/>
      <c r="BP18" s="72"/>
      <c r="BQ18" s="73"/>
      <c r="BR18" s="65"/>
      <c r="BS18" s="66">
        <v>1</v>
      </c>
      <c r="BT18" s="67"/>
      <c r="BU18" s="68"/>
      <c r="BV18" s="69">
        <v>1</v>
      </c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>
        <v>1</v>
      </c>
      <c r="F19" s="67"/>
      <c r="G19" s="68"/>
      <c r="H19" s="69">
        <v>0.5</v>
      </c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/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>
        <v>1</v>
      </c>
      <c r="AD19" s="69"/>
      <c r="AE19" s="70"/>
      <c r="AF19" s="67"/>
      <c r="AG19" s="71"/>
      <c r="AH19" s="68"/>
      <c r="AI19" s="72"/>
      <c r="AJ19" s="73"/>
      <c r="AK19" s="65"/>
      <c r="AL19" s="66"/>
      <c r="AM19" s="67"/>
      <c r="AN19" s="68">
        <v>1</v>
      </c>
      <c r="AO19" s="69"/>
      <c r="AP19" s="70"/>
      <c r="AQ19" s="67"/>
      <c r="AR19" s="71"/>
      <c r="AS19" s="68"/>
      <c r="AT19" s="72"/>
      <c r="AU19" s="73"/>
      <c r="AV19" s="65"/>
      <c r="AW19" s="66"/>
      <c r="AX19" s="67">
        <v>1</v>
      </c>
      <c r="AY19" s="68"/>
      <c r="AZ19" s="69"/>
      <c r="BA19" s="70"/>
      <c r="BB19" s="67"/>
      <c r="BC19" s="71"/>
      <c r="BD19" s="68"/>
      <c r="BE19" s="72"/>
      <c r="BF19" s="73"/>
      <c r="BG19" s="65"/>
      <c r="BH19" s="66"/>
      <c r="BI19" s="67">
        <v>1</v>
      </c>
      <c r="BJ19" s="68"/>
      <c r="BK19" s="69">
        <v>1</v>
      </c>
      <c r="BL19" s="70"/>
      <c r="BM19" s="67"/>
      <c r="BN19" s="71"/>
      <c r="BO19" s="68"/>
      <c r="BP19" s="72"/>
      <c r="BQ19" s="73"/>
      <c r="BR19" s="65"/>
      <c r="BS19" s="66">
        <v>1</v>
      </c>
      <c r="BT19" s="67"/>
      <c r="BU19" s="68">
        <v>1</v>
      </c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>
        <v>1</v>
      </c>
      <c r="F20" s="67"/>
      <c r="G20" s="68"/>
      <c r="H20" s="69"/>
      <c r="I20" s="70"/>
      <c r="J20" s="67"/>
      <c r="K20" s="71"/>
      <c r="L20" s="68"/>
      <c r="M20" s="72"/>
      <c r="N20" s="74"/>
      <c r="O20" s="65"/>
      <c r="P20" s="66">
        <v>1</v>
      </c>
      <c r="Q20" s="67"/>
      <c r="R20" s="68">
        <v>1</v>
      </c>
      <c r="S20" s="69"/>
      <c r="T20" s="70"/>
      <c r="U20" s="67"/>
      <c r="V20" s="71"/>
      <c r="W20" s="68"/>
      <c r="X20" s="72"/>
      <c r="Y20" s="74"/>
      <c r="Z20" s="65"/>
      <c r="AA20" s="66"/>
      <c r="AB20" s="67"/>
      <c r="AC20" s="68">
        <v>1</v>
      </c>
      <c r="AD20" s="69">
        <v>1</v>
      </c>
      <c r="AE20" s="70"/>
      <c r="AF20" s="67"/>
      <c r="AG20" s="71"/>
      <c r="AH20" s="68"/>
      <c r="AI20" s="72"/>
      <c r="AJ20" s="74"/>
      <c r="AK20" s="65"/>
      <c r="AL20" s="66"/>
      <c r="AM20" s="67"/>
      <c r="AN20" s="68"/>
      <c r="AO20" s="69">
        <v>1</v>
      </c>
      <c r="AP20" s="70"/>
      <c r="AQ20" s="67"/>
      <c r="AR20" s="71"/>
      <c r="AS20" s="68"/>
      <c r="AT20" s="72"/>
      <c r="AU20" s="74"/>
      <c r="AV20" s="65"/>
      <c r="AW20" s="66"/>
      <c r="AX20" s="67">
        <v>1</v>
      </c>
      <c r="AY20" s="68">
        <v>1</v>
      </c>
      <c r="AZ20" s="69"/>
      <c r="BA20" s="70"/>
      <c r="BB20" s="67"/>
      <c r="BC20" s="71"/>
      <c r="BD20" s="68"/>
      <c r="BE20" s="72"/>
      <c r="BF20" s="74"/>
      <c r="BG20" s="65"/>
      <c r="BH20" s="66"/>
      <c r="BI20" s="67">
        <v>1</v>
      </c>
      <c r="BJ20" s="68">
        <v>1</v>
      </c>
      <c r="BK20" s="69"/>
      <c r="BL20" s="70"/>
      <c r="BM20" s="67"/>
      <c r="BN20" s="71"/>
      <c r="BO20" s="68"/>
      <c r="BP20" s="72"/>
      <c r="BQ20" s="74"/>
      <c r="BR20" s="65"/>
      <c r="BS20" s="66">
        <v>1</v>
      </c>
      <c r="BT20" s="67"/>
      <c r="BU20" s="68"/>
      <c r="BV20" s="69">
        <v>1</v>
      </c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>
        <v>1</v>
      </c>
      <c r="F21" s="67"/>
      <c r="G21" s="68"/>
      <c r="H21" s="69">
        <v>1</v>
      </c>
      <c r="I21" s="70"/>
      <c r="J21" s="67"/>
      <c r="K21" s="71"/>
      <c r="L21" s="68"/>
      <c r="M21" s="72"/>
      <c r="N21" s="73"/>
      <c r="O21" s="65"/>
      <c r="P21" s="66">
        <v>1</v>
      </c>
      <c r="Q21" s="67"/>
      <c r="R21" s="68"/>
      <c r="S21" s="69"/>
      <c r="T21" s="70"/>
      <c r="U21" s="67"/>
      <c r="V21" s="71"/>
      <c r="W21" s="68"/>
      <c r="X21" s="72"/>
      <c r="Y21" s="73"/>
      <c r="Z21" s="65"/>
      <c r="AA21" s="66"/>
      <c r="AB21" s="67"/>
      <c r="AC21" s="68">
        <v>1</v>
      </c>
      <c r="AD21" s="69"/>
      <c r="AE21" s="70"/>
      <c r="AF21" s="67"/>
      <c r="AG21" s="71"/>
      <c r="AH21" s="68"/>
      <c r="AI21" s="72"/>
      <c r="AJ21" s="73"/>
      <c r="AK21" s="65"/>
      <c r="AL21" s="66"/>
      <c r="AM21" s="67"/>
      <c r="AN21" s="68">
        <v>1</v>
      </c>
      <c r="AO21" s="69">
        <v>1</v>
      </c>
      <c r="AP21" s="70"/>
      <c r="AQ21" s="67"/>
      <c r="AR21" s="71"/>
      <c r="AS21" s="68"/>
      <c r="AT21" s="72"/>
      <c r="AU21" s="73"/>
      <c r="AV21" s="65"/>
      <c r="AW21" s="66"/>
      <c r="AX21" s="67"/>
      <c r="AY21" s="68">
        <v>1</v>
      </c>
      <c r="AZ21" s="69"/>
      <c r="BA21" s="70"/>
      <c r="BB21" s="67"/>
      <c r="BC21" s="71"/>
      <c r="BD21" s="68"/>
      <c r="BE21" s="72"/>
      <c r="BF21" s="73"/>
      <c r="BG21" s="65"/>
      <c r="BH21" s="66"/>
      <c r="BI21" s="67"/>
      <c r="BJ21" s="68"/>
      <c r="BK21" s="69">
        <v>1</v>
      </c>
      <c r="BL21" s="70"/>
      <c r="BM21" s="67"/>
      <c r="BN21" s="71"/>
      <c r="BO21" s="68"/>
      <c r="BP21" s="72"/>
      <c r="BQ21" s="73"/>
      <c r="BR21" s="65"/>
      <c r="BS21" s="66"/>
      <c r="BT21" s="67"/>
      <c r="BU21" s="68">
        <v>1</v>
      </c>
      <c r="BV21" s="69">
        <v>1</v>
      </c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/>
      <c r="G22" s="68"/>
      <c r="H22" s="69">
        <v>1</v>
      </c>
      <c r="I22" s="70"/>
      <c r="J22" s="67"/>
      <c r="K22" s="71"/>
      <c r="L22" s="68"/>
      <c r="M22" s="72"/>
      <c r="N22" s="73"/>
      <c r="O22" s="65"/>
      <c r="P22" s="66"/>
      <c r="Q22" s="67"/>
      <c r="R22" s="68">
        <v>1</v>
      </c>
      <c r="S22" s="69"/>
      <c r="T22" s="70"/>
      <c r="U22" s="67"/>
      <c r="V22" s="71"/>
      <c r="W22" s="68"/>
      <c r="X22" s="72"/>
      <c r="Y22" s="73"/>
      <c r="Z22" s="65"/>
      <c r="AA22" s="66"/>
      <c r="AB22" s="67"/>
      <c r="AC22" s="68">
        <v>1</v>
      </c>
      <c r="AD22" s="69">
        <v>1</v>
      </c>
      <c r="AE22" s="70"/>
      <c r="AF22" s="67"/>
      <c r="AG22" s="71"/>
      <c r="AH22" s="68"/>
      <c r="AI22" s="72"/>
      <c r="AJ22" s="73"/>
      <c r="AK22" s="65"/>
      <c r="AL22" s="66"/>
      <c r="AM22" s="67"/>
      <c r="AN22" s="68">
        <v>1</v>
      </c>
      <c r="AO22" s="69">
        <v>1</v>
      </c>
      <c r="AP22" s="70"/>
      <c r="AQ22" s="67"/>
      <c r="AR22" s="71"/>
      <c r="AS22" s="68"/>
      <c r="AT22" s="72"/>
      <c r="AU22" s="73"/>
      <c r="AV22" s="65"/>
      <c r="AW22" s="66"/>
      <c r="AX22" s="67"/>
      <c r="AY22" s="68"/>
      <c r="AZ22" s="69">
        <v>1</v>
      </c>
      <c r="BA22" s="70"/>
      <c r="BB22" s="67"/>
      <c r="BC22" s="71"/>
      <c r="BD22" s="68"/>
      <c r="BE22" s="72"/>
      <c r="BF22" s="73"/>
      <c r="BG22" s="65"/>
      <c r="BH22" s="66"/>
      <c r="BI22" s="67"/>
      <c r="BJ22" s="68">
        <v>1</v>
      </c>
      <c r="BK22" s="69">
        <v>1</v>
      </c>
      <c r="BL22" s="70"/>
      <c r="BM22" s="67"/>
      <c r="BN22" s="71"/>
      <c r="BO22" s="68"/>
      <c r="BP22" s="72"/>
      <c r="BQ22" s="73"/>
      <c r="BR22" s="65"/>
      <c r="BS22" s="66"/>
      <c r="BT22" s="67"/>
      <c r="BU22" s="68">
        <v>1</v>
      </c>
      <c r="BV22" s="69">
        <v>1</v>
      </c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/>
      <c r="E23" s="66"/>
      <c r="F23" s="67"/>
      <c r="G23" s="68"/>
      <c r="H23" s="69">
        <v>1</v>
      </c>
      <c r="I23" s="70"/>
      <c r="J23" s="67"/>
      <c r="K23" s="71"/>
      <c r="L23" s="68"/>
      <c r="M23" s="72"/>
      <c r="N23" s="73"/>
      <c r="O23" s="65"/>
      <c r="P23" s="66"/>
      <c r="Q23" s="67"/>
      <c r="R23" s="68">
        <v>1</v>
      </c>
      <c r="S23" s="69"/>
      <c r="T23" s="70"/>
      <c r="U23" s="67"/>
      <c r="V23" s="71"/>
      <c r="W23" s="68"/>
      <c r="X23" s="72"/>
      <c r="Y23" s="73"/>
      <c r="Z23" s="65"/>
      <c r="AA23" s="66"/>
      <c r="AB23" s="67"/>
      <c r="AC23" s="68"/>
      <c r="AD23" s="69">
        <v>1</v>
      </c>
      <c r="AE23" s="70"/>
      <c r="AF23" s="67"/>
      <c r="AG23" s="71"/>
      <c r="AH23" s="68"/>
      <c r="AI23" s="72"/>
      <c r="AJ23" s="73"/>
      <c r="AK23" s="65"/>
      <c r="AL23" s="66"/>
      <c r="AM23" s="67"/>
      <c r="AN23" s="68">
        <v>1</v>
      </c>
      <c r="AO23" s="69">
        <v>1</v>
      </c>
      <c r="AP23" s="70"/>
      <c r="AQ23" s="67"/>
      <c r="AR23" s="71"/>
      <c r="AS23" s="68"/>
      <c r="AT23" s="72"/>
      <c r="AU23" s="73"/>
      <c r="AV23" s="65"/>
      <c r="AW23" s="66"/>
      <c r="AX23" s="67"/>
      <c r="AY23" s="68">
        <v>1</v>
      </c>
      <c r="AZ23" s="69"/>
      <c r="BA23" s="70"/>
      <c r="BB23" s="67"/>
      <c r="BC23" s="71"/>
      <c r="BD23" s="68"/>
      <c r="BE23" s="72"/>
      <c r="BF23" s="73"/>
      <c r="BG23" s="65"/>
      <c r="BH23" s="66"/>
      <c r="BI23" s="67"/>
      <c r="BJ23" s="68">
        <v>1</v>
      </c>
      <c r="BK23" s="69">
        <v>1</v>
      </c>
      <c r="BL23" s="70"/>
      <c r="BM23" s="67"/>
      <c r="BN23" s="71"/>
      <c r="BO23" s="68"/>
      <c r="BP23" s="72"/>
      <c r="BQ23" s="73"/>
      <c r="BR23" s="65"/>
      <c r="BS23" s="66"/>
      <c r="BT23" s="67">
        <v>1</v>
      </c>
      <c r="BU23" s="68">
        <v>1</v>
      </c>
      <c r="BV23" s="69">
        <v>1</v>
      </c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/>
      <c r="E24" s="66"/>
      <c r="F24" s="67"/>
      <c r="G24" s="68"/>
      <c r="H24" s="69">
        <v>1</v>
      </c>
      <c r="I24" s="70"/>
      <c r="J24" s="67"/>
      <c r="K24" s="71"/>
      <c r="L24" s="68"/>
      <c r="M24" s="72"/>
      <c r="N24" s="73"/>
      <c r="O24" s="65"/>
      <c r="P24" s="66"/>
      <c r="Q24" s="67">
        <v>1</v>
      </c>
      <c r="R24" s="68">
        <v>1</v>
      </c>
      <c r="S24" s="69"/>
      <c r="T24" s="70"/>
      <c r="U24" s="67"/>
      <c r="V24" s="71"/>
      <c r="W24" s="68"/>
      <c r="X24" s="72"/>
      <c r="Y24" s="73"/>
      <c r="Z24" s="65"/>
      <c r="AA24" s="66"/>
      <c r="AB24" s="67">
        <v>1</v>
      </c>
      <c r="AC24" s="68"/>
      <c r="AD24" s="69">
        <v>1</v>
      </c>
      <c r="AE24" s="70"/>
      <c r="AF24" s="67"/>
      <c r="AG24" s="71"/>
      <c r="AH24" s="68"/>
      <c r="AI24" s="72"/>
      <c r="AJ24" s="73"/>
      <c r="AK24" s="65"/>
      <c r="AL24" s="66"/>
      <c r="AM24" s="67"/>
      <c r="AN24" s="68">
        <v>1</v>
      </c>
      <c r="AO24" s="69">
        <v>1</v>
      </c>
      <c r="AP24" s="70"/>
      <c r="AQ24" s="67"/>
      <c r="AR24" s="71"/>
      <c r="AS24" s="68"/>
      <c r="AT24" s="72"/>
      <c r="AU24" s="73"/>
      <c r="AV24" s="65"/>
      <c r="AW24" s="66">
        <v>0.5</v>
      </c>
      <c r="AX24" s="67"/>
      <c r="AY24" s="68">
        <v>1</v>
      </c>
      <c r="AZ24" s="69">
        <v>1</v>
      </c>
      <c r="BA24" s="70"/>
      <c r="BB24" s="67"/>
      <c r="BC24" s="71"/>
      <c r="BD24" s="68"/>
      <c r="BE24" s="72"/>
      <c r="BF24" s="73"/>
      <c r="BG24" s="65"/>
      <c r="BH24" s="66">
        <v>1</v>
      </c>
      <c r="BI24" s="67"/>
      <c r="BJ24" s="68">
        <v>1</v>
      </c>
      <c r="BK24" s="69"/>
      <c r="BL24" s="70"/>
      <c r="BM24" s="67"/>
      <c r="BN24" s="71"/>
      <c r="BO24" s="68"/>
      <c r="BP24" s="72"/>
      <c r="BQ24" s="73"/>
      <c r="BR24" s="65"/>
      <c r="BS24" s="66"/>
      <c r="BT24" s="67">
        <v>1</v>
      </c>
      <c r="BU24" s="68">
        <v>1</v>
      </c>
      <c r="BV24" s="69">
        <v>1</v>
      </c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/>
      <c r="E25" s="66"/>
      <c r="F25" s="67"/>
      <c r="G25" s="68"/>
      <c r="H25" s="69">
        <v>1</v>
      </c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>
        <v>1</v>
      </c>
      <c r="S25" s="69"/>
      <c r="T25" s="70"/>
      <c r="U25" s="67"/>
      <c r="V25" s="71"/>
      <c r="W25" s="68"/>
      <c r="X25" s="72"/>
      <c r="Y25" s="73"/>
      <c r="Z25" s="65"/>
      <c r="AA25" s="66"/>
      <c r="AB25" s="67">
        <v>1</v>
      </c>
      <c r="AC25" s="68"/>
      <c r="AD25" s="69">
        <v>1</v>
      </c>
      <c r="AE25" s="70"/>
      <c r="AF25" s="67"/>
      <c r="AG25" s="71"/>
      <c r="AH25" s="68"/>
      <c r="AI25" s="72"/>
      <c r="AJ25" s="73"/>
      <c r="AK25" s="65"/>
      <c r="AL25" s="66"/>
      <c r="AM25" s="67"/>
      <c r="AN25" s="68">
        <v>1</v>
      </c>
      <c r="AO25" s="69">
        <v>1</v>
      </c>
      <c r="AP25" s="70"/>
      <c r="AQ25" s="67"/>
      <c r="AR25" s="71"/>
      <c r="AS25" s="68"/>
      <c r="AT25" s="72"/>
      <c r="AU25" s="73"/>
      <c r="AV25" s="65"/>
      <c r="AW25" s="66">
        <v>1</v>
      </c>
      <c r="AX25" s="67"/>
      <c r="AY25" s="68">
        <v>1</v>
      </c>
      <c r="AZ25" s="69">
        <v>1</v>
      </c>
      <c r="BA25" s="70"/>
      <c r="BB25" s="67"/>
      <c r="BC25" s="71"/>
      <c r="BD25" s="68"/>
      <c r="BE25" s="72"/>
      <c r="BF25" s="73"/>
      <c r="BG25" s="65"/>
      <c r="BH25" s="66">
        <v>1</v>
      </c>
      <c r="BI25" s="67"/>
      <c r="BJ25" s="68">
        <v>1</v>
      </c>
      <c r="BK25" s="69"/>
      <c r="BL25" s="70"/>
      <c r="BM25" s="67"/>
      <c r="BN25" s="71"/>
      <c r="BO25" s="68"/>
      <c r="BP25" s="72"/>
      <c r="BQ25" s="73"/>
      <c r="BR25" s="65"/>
      <c r="BS25" s="66"/>
      <c r="BT25" s="67">
        <v>1</v>
      </c>
      <c r="BU25" s="68">
        <v>1</v>
      </c>
      <c r="BV25" s="69">
        <v>1</v>
      </c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/>
      <c r="E26" s="66"/>
      <c r="F26" s="67"/>
      <c r="G26" s="68"/>
      <c r="H26" s="69">
        <v>1</v>
      </c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>
        <v>1</v>
      </c>
      <c r="S26" s="69"/>
      <c r="T26" s="70"/>
      <c r="U26" s="67"/>
      <c r="V26" s="71"/>
      <c r="W26" s="68"/>
      <c r="X26" s="72"/>
      <c r="Y26" s="73"/>
      <c r="Z26" s="65"/>
      <c r="AA26" s="66"/>
      <c r="AB26" s="67">
        <v>1</v>
      </c>
      <c r="AC26" s="68"/>
      <c r="AD26" s="69">
        <v>1</v>
      </c>
      <c r="AE26" s="70"/>
      <c r="AF26" s="67"/>
      <c r="AG26" s="71"/>
      <c r="AH26" s="68"/>
      <c r="AI26" s="72"/>
      <c r="AJ26" s="73"/>
      <c r="AK26" s="65"/>
      <c r="AL26" s="66"/>
      <c r="AM26" s="67"/>
      <c r="AN26" s="68">
        <v>1</v>
      </c>
      <c r="AO26" s="69">
        <v>1</v>
      </c>
      <c r="AP26" s="70"/>
      <c r="AQ26" s="67"/>
      <c r="AR26" s="71"/>
      <c r="AS26" s="68"/>
      <c r="AT26" s="72"/>
      <c r="AU26" s="73"/>
      <c r="AV26" s="65"/>
      <c r="AW26" s="66">
        <v>1</v>
      </c>
      <c r="AX26" s="67"/>
      <c r="AY26" s="68">
        <v>1</v>
      </c>
      <c r="AZ26" s="69">
        <v>1</v>
      </c>
      <c r="BA26" s="70"/>
      <c r="BB26" s="67"/>
      <c r="BC26" s="71"/>
      <c r="BD26" s="68"/>
      <c r="BE26" s="72"/>
      <c r="BF26" s="73"/>
      <c r="BG26" s="65"/>
      <c r="BH26" s="66">
        <v>1</v>
      </c>
      <c r="BI26" s="67"/>
      <c r="BJ26" s="68">
        <v>1</v>
      </c>
      <c r="BK26" s="69"/>
      <c r="BL26" s="70"/>
      <c r="BM26" s="67"/>
      <c r="BN26" s="71"/>
      <c r="BO26" s="68"/>
      <c r="BP26" s="72"/>
      <c r="BQ26" s="73"/>
      <c r="BR26" s="65"/>
      <c r="BS26" s="66"/>
      <c r="BT26" s="67">
        <v>1</v>
      </c>
      <c r="BU26" s="68">
        <v>1</v>
      </c>
      <c r="BV26" s="69">
        <v>1</v>
      </c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/>
      <c r="E27" s="66"/>
      <c r="F27" s="67"/>
      <c r="G27" s="68"/>
      <c r="H27" s="69">
        <v>1</v>
      </c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>
        <v>1</v>
      </c>
      <c r="S27" s="69"/>
      <c r="T27" s="70"/>
      <c r="U27" s="67"/>
      <c r="V27" s="71"/>
      <c r="W27" s="68"/>
      <c r="X27" s="72"/>
      <c r="Y27" s="73"/>
      <c r="Z27" s="65"/>
      <c r="AA27" s="66"/>
      <c r="AB27" s="67">
        <v>1</v>
      </c>
      <c r="AC27" s="68"/>
      <c r="AD27" s="69">
        <v>1</v>
      </c>
      <c r="AE27" s="70"/>
      <c r="AF27" s="67"/>
      <c r="AG27" s="71"/>
      <c r="AH27" s="68"/>
      <c r="AI27" s="72"/>
      <c r="AJ27" s="73"/>
      <c r="AK27" s="65"/>
      <c r="AL27" s="66"/>
      <c r="AM27" s="67"/>
      <c r="AN27" s="68">
        <v>1</v>
      </c>
      <c r="AO27" s="69">
        <v>0.5</v>
      </c>
      <c r="AP27" s="70"/>
      <c r="AQ27" s="67"/>
      <c r="AR27" s="71"/>
      <c r="AS27" s="68"/>
      <c r="AT27" s="72"/>
      <c r="AU27" s="73"/>
      <c r="AV27" s="65"/>
      <c r="AW27" s="66">
        <v>1</v>
      </c>
      <c r="AX27" s="67"/>
      <c r="AY27" s="68">
        <v>1</v>
      </c>
      <c r="AZ27" s="69">
        <v>1</v>
      </c>
      <c r="BA27" s="70"/>
      <c r="BB27" s="67"/>
      <c r="BC27" s="71"/>
      <c r="BD27" s="68"/>
      <c r="BE27" s="72"/>
      <c r="BF27" s="73"/>
      <c r="BG27" s="65"/>
      <c r="BH27" s="66">
        <v>1</v>
      </c>
      <c r="BI27" s="67"/>
      <c r="BJ27" s="68">
        <v>1</v>
      </c>
      <c r="BK27" s="69"/>
      <c r="BL27" s="70"/>
      <c r="BM27" s="67"/>
      <c r="BN27" s="71"/>
      <c r="BO27" s="68"/>
      <c r="BP27" s="72"/>
      <c r="BQ27" s="73"/>
      <c r="BR27" s="65"/>
      <c r="BS27" s="66"/>
      <c r="BT27" s="67">
        <v>1</v>
      </c>
      <c r="BU27" s="68">
        <v>1</v>
      </c>
      <c r="BV27" s="69">
        <v>1</v>
      </c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/>
      <c r="E28" s="66"/>
      <c r="F28" s="67"/>
      <c r="G28" s="68"/>
      <c r="H28" s="69">
        <v>1</v>
      </c>
      <c r="I28" s="70"/>
      <c r="J28" s="67"/>
      <c r="K28" s="71"/>
      <c r="L28" s="68"/>
      <c r="M28" s="72"/>
      <c r="N28" s="73"/>
      <c r="O28" s="65"/>
      <c r="P28" s="66"/>
      <c r="Q28" s="67">
        <v>0.5</v>
      </c>
      <c r="R28" s="68">
        <v>1</v>
      </c>
      <c r="S28" s="69"/>
      <c r="T28" s="70"/>
      <c r="U28" s="67"/>
      <c r="V28" s="71"/>
      <c r="W28" s="68"/>
      <c r="X28" s="72"/>
      <c r="Y28" s="73"/>
      <c r="Z28" s="65"/>
      <c r="AA28" s="66"/>
      <c r="AB28" s="67">
        <v>1</v>
      </c>
      <c r="AC28" s="68"/>
      <c r="AD28" s="69">
        <v>1</v>
      </c>
      <c r="AE28" s="70"/>
      <c r="AF28" s="67"/>
      <c r="AG28" s="71"/>
      <c r="AH28" s="68"/>
      <c r="AI28" s="72"/>
      <c r="AJ28" s="73"/>
      <c r="AK28" s="65"/>
      <c r="AL28" s="66"/>
      <c r="AM28" s="67"/>
      <c r="AN28" s="68">
        <v>1</v>
      </c>
      <c r="AO28" s="71"/>
      <c r="AP28" s="71"/>
      <c r="AQ28" s="71"/>
      <c r="AR28" s="71"/>
      <c r="AS28" s="68"/>
      <c r="AT28" s="72"/>
      <c r="AU28" s="73"/>
      <c r="AV28" s="65"/>
      <c r="AW28" s="66">
        <v>1</v>
      </c>
      <c r="AX28" s="67"/>
      <c r="AY28" s="68">
        <v>1</v>
      </c>
      <c r="AZ28" s="69">
        <v>1</v>
      </c>
      <c r="BA28" s="70"/>
      <c r="BB28" s="67"/>
      <c r="BC28" s="71"/>
      <c r="BD28" s="68"/>
      <c r="BE28" s="72"/>
      <c r="BF28" s="73"/>
      <c r="BG28" s="65"/>
      <c r="BH28" s="66">
        <v>1</v>
      </c>
      <c r="BI28" s="67"/>
      <c r="BJ28" s="68">
        <v>1</v>
      </c>
      <c r="BK28" s="69"/>
      <c r="BL28" s="70"/>
      <c r="BM28" s="67"/>
      <c r="BN28" s="71"/>
      <c r="BO28" s="68"/>
      <c r="BP28" s="72"/>
      <c r="BQ28" s="73"/>
      <c r="BR28" s="65"/>
      <c r="BS28" s="66"/>
      <c r="BT28" s="67">
        <v>1</v>
      </c>
      <c r="BU28" s="68">
        <v>1</v>
      </c>
      <c r="BV28" s="69">
        <v>1</v>
      </c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06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07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08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09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10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11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12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>
        <f t="shared" ref="D33:M33" si="0">+D6</f>
        <v>0</v>
      </c>
      <c r="E33" s="31" t="str">
        <f t="shared" si="0"/>
        <v>ANAHY</v>
      </c>
      <c r="F33" s="32" t="str">
        <f t="shared" si="0"/>
        <v>MICHAEL</v>
      </c>
      <c r="G33" s="33" t="str">
        <f t="shared" si="0"/>
        <v>LINDSAY</v>
      </c>
      <c r="H33" s="34" t="str">
        <f t="shared" si="0"/>
        <v>MILA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>
        <f t="shared" ref="O33:X33" si="1">+O6</f>
        <v>0</v>
      </c>
      <c r="P33" s="31" t="str">
        <f t="shared" si="1"/>
        <v>ANAHY</v>
      </c>
      <c r="Q33" s="32" t="str">
        <f t="shared" si="1"/>
        <v>MICHAEL</v>
      </c>
      <c r="R33" s="33" t="str">
        <f t="shared" si="1"/>
        <v>LINDSAY</v>
      </c>
      <c r="S33" s="34" t="str">
        <f t="shared" si="1"/>
        <v>MILA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>
        <f t="shared" ref="Z33:AI33" si="2">+Z6</f>
        <v>0</v>
      </c>
      <c r="AA33" s="31" t="str">
        <f t="shared" si="2"/>
        <v>ANAHY</v>
      </c>
      <c r="AB33" s="32" t="str">
        <f t="shared" si="2"/>
        <v>MICHAEL</v>
      </c>
      <c r="AC33" s="33" t="str">
        <f t="shared" si="2"/>
        <v>LINDSAY</v>
      </c>
      <c r="AD33" s="34" t="str">
        <f t="shared" si="2"/>
        <v>MILA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>
        <f t="shared" ref="AK33:AT33" si="3">+AK6</f>
        <v>0</v>
      </c>
      <c r="AL33" s="31" t="str">
        <f t="shared" si="3"/>
        <v>ANAHY</v>
      </c>
      <c r="AM33" s="32" t="str">
        <f t="shared" si="3"/>
        <v>MICHAEL</v>
      </c>
      <c r="AN33" s="33" t="str">
        <f t="shared" si="3"/>
        <v>LINDSAY</v>
      </c>
      <c r="AO33" s="34" t="str">
        <f t="shared" si="3"/>
        <v>MILA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>
        <f t="shared" ref="AV33:BE33" si="4">+AV6</f>
        <v>0</v>
      </c>
      <c r="AW33" s="31" t="str">
        <f t="shared" si="4"/>
        <v>ANAHY</v>
      </c>
      <c r="AX33" s="32" t="str">
        <f t="shared" si="4"/>
        <v>MICHAEL</v>
      </c>
      <c r="AY33" s="33" t="str">
        <f t="shared" si="4"/>
        <v>LINDSAY</v>
      </c>
      <c r="AZ33" s="34" t="str">
        <f t="shared" si="4"/>
        <v>MILA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>
        <f t="shared" ref="BG33:BP33" si="5">+BG6</f>
        <v>0</v>
      </c>
      <c r="BH33" s="31" t="str">
        <f t="shared" si="5"/>
        <v>ANAHY</v>
      </c>
      <c r="BI33" s="32" t="str">
        <f t="shared" si="5"/>
        <v>MICHAEL</v>
      </c>
      <c r="BJ33" s="33" t="str">
        <f t="shared" si="5"/>
        <v>LINDSAY</v>
      </c>
      <c r="BK33" s="34" t="str">
        <f t="shared" si="5"/>
        <v>MILA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>
        <f t="shared" ref="BR33:CA33" si="6">+BR6</f>
        <v>0</v>
      </c>
      <c r="BS33" s="31" t="str">
        <f t="shared" si="6"/>
        <v>ANAHY</v>
      </c>
      <c r="BT33" s="32" t="str">
        <f t="shared" si="6"/>
        <v>MICHAEL</v>
      </c>
      <c r="BU33" s="33" t="str">
        <f t="shared" si="6"/>
        <v>LINDSAY</v>
      </c>
      <c r="BV33" s="34" t="str">
        <f t="shared" si="6"/>
        <v>MILA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0</v>
      </c>
      <c r="E34" s="48">
        <f t="shared" ref="E34:M34" si="7">SUM(E7:E30)</f>
        <v>6.5</v>
      </c>
      <c r="F34" s="49">
        <f t="shared" si="7"/>
        <v>1.5</v>
      </c>
      <c r="G34" s="50">
        <f t="shared" si="7"/>
        <v>1.5</v>
      </c>
      <c r="H34" s="51">
        <f t="shared" si="7"/>
        <v>10</v>
      </c>
      <c r="I34" s="52">
        <f t="shared" si="7"/>
        <v>0.5</v>
      </c>
      <c r="J34" s="49">
        <f t="shared" si="7"/>
        <v>0.5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0</v>
      </c>
      <c r="P34" s="48">
        <f t="shared" si="8"/>
        <v>6.5</v>
      </c>
      <c r="Q34" s="49">
        <f t="shared" si="8"/>
        <v>6</v>
      </c>
      <c r="R34" s="50">
        <f t="shared" si="8"/>
        <v>9.5</v>
      </c>
      <c r="S34" s="51">
        <f t="shared" si="8"/>
        <v>1.5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0</v>
      </c>
      <c r="AA34" s="48">
        <f t="shared" si="9"/>
        <v>1.5</v>
      </c>
      <c r="AB34" s="49">
        <f t="shared" si="9"/>
        <v>6.5</v>
      </c>
      <c r="AC34" s="50">
        <f t="shared" si="9"/>
        <v>7.5</v>
      </c>
      <c r="AD34" s="51">
        <f t="shared" si="9"/>
        <v>9.5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0</v>
      </c>
      <c r="AL34" s="48">
        <f t="shared" si="10"/>
        <v>0</v>
      </c>
      <c r="AM34" s="49">
        <f t="shared" si="10"/>
        <v>0</v>
      </c>
      <c r="AN34" s="50">
        <f t="shared" si="10"/>
        <v>9</v>
      </c>
      <c r="AO34" s="51">
        <f t="shared" si="10"/>
        <v>9.5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0</v>
      </c>
      <c r="AW34" s="48">
        <f t="shared" si="11"/>
        <v>6</v>
      </c>
      <c r="AX34" s="49">
        <f t="shared" si="11"/>
        <v>5.5</v>
      </c>
      <c r="AY34" s="50">
        <f t="shared" si="11"/>
        <v>9.5</v>
      </c>
      <c r="AZ34" s="51">
        <f t="shared" si="11"/>
        <v>7.5</v>
      </c>
      <c r="BA34" s="52">
        <f t="shared" si="11"/>
        <v>1.5</v>
      </c>
      <c r="BB34" s="49">
        <f t="shared" si="11"/>
        <v>1.5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0</v>
      </c>
      <c r="BH34" s="48">
        <f t="shared" si="12"/>
        <v>6.5</v>
      </c>
      <c r="BI34" s="49">
        <f t="shared" si="12"/>
        <v>5.5</v>
      </c>
      <c r="BJ34" s="50">
        <f t="shared" si="12"/>
        <v>9.5</v>
      </c>
      <c r="BK34" s="51">
        <f t="shared" si="12"/>
        <v>7.5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0</v>
      </c>
      <c r="BS34" s="48">
        <f t="shared" si="13"/>
        <v>4</v>
      </c>
      <c r="BT34" s="49">
        <f t="shared" si="13"/>
        <v>6</v>
      </c>
      <c r="BU34" s="50">
        <f t="shared" si="13"/>
        <v>9</v>
      </c>
      <c r="BV34" s="51">
        <f t="shared" si="13"/>
        <v>10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/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0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36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31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37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31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55.5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39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55.5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2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2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41:J41"/>
    <mergeCell ref="L41:N41"/>
    <mergeCell ref="B42:J42"/>
    <mergeCell ref="L42:N42"/>
    <mergeCell ref="B43:J43"/>
    <mergeCell ref="L43:N43"/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</mergeCells>
  <conditionalFormatting sqref="D7:M14 D29:M30">
    <cfRule type="expression" dxfId="118" priority="14">
      <formula>IF(OR(D7=0,D7=""),TRUE(),FALSE())</formula>
    </cfRule>
  </conditionalFormatting>
  <conditionalFormatting sqref="D15:M28">
    <cfRule type="expression" dxfId="117" priority="13">
      <formula>IF(OR(D15=0,D15=""),TRUE(),FALSE())</formula>
    </cfRule>
  </conditionalFormatting>
  <conditionalFormatting sqref="O7:X14 O29:X30">
    <cfRule type="expression" dxfId="116" priority="12">
      <formula>IF(OR(O7=0,O7=""),TRUE(),FALSE())</formula>
    </cfRule>
  </conditionalFormatting>
  <conditionalFormatting sqref="O15:X28">
    <cfRule type="expression" dxfId="115" priority="11">
      <formula>IF(OR(O15=0,O15=""),TRUE(),FALSE())</formula>
    </cfRule>
  </conditionalFormatting>
  <conditionalFormatting sqref="Z7:AI14 Z29:AI30">
    <cfRule type="expression" dxfId="114" priority="10">
      <formula>IF(OR(Z7=0,Z7=""),TRUE(),FALSE())</formula>
    </cfRule>
  </conditionalFormatting>
  <conditionalFormatting sqref="Z15:AI28">
    <cfRule type="expression" dxfId="113" priority="9">
      <formula>IF(OR(Z15=0,Z15=""),TRUE(),FALSE())</formula>
    </cfRule>
  </conditionalFormatting>
  <conditionalFormatting sqref="AK7:AT14 AK29:AT30">
    <cfRule type="expression" dxfId="112" priority="8">
      <formula>IF(OR(AK7=0,AK7=""),TRUE(),FALSE())</formula>
    </cfRule>
  </conditionalFormatting>
  <conditionalFormatting sqref="AK15:AT28">
    <cfRule type="expression" dxfId="111" priority="7">
      <formula>IF(OR(AK15=0,AK15=""),TRUE(),FALSE())</formula>
    </cfRule>
  </conditionalFormatting>
  <conditionalFormatting sqref="AV7:BE14 AV29:BE30">
    <cfRule type="expression" dxfId="110" priority="6">
      <formula>IF(OR(AV7=0,AV7=""),TRUE(),FALSE())</formula>
    </cfRule>
  </conditionalFormatting>
  <conditionalFormatting sqref="AV15:BE28">
    <cfRule type="expression" dxfId="109" priority="5">
      <formula>IF(OR(AV15=0,AV15=""),TRUE(),FALSE())</formula>
    </cfRule>
  </conditionalFormatting>
  <conditionalFormatting sqref="BG7:BP14 BG29:BP30">
    <cfRule type="expression" dxfId="108" priority="4">
      <formula>IF(OR(BG7=0,BG7=""),TRUE(),FALSE())</formula>
    </cfRule>
  </conditionalFormatting>
  <conditionalFormatting sqref="BG15:BP28">
    <cfRule type="expression" dxfId="107" priority="3">
      <formula>IF(OR(BG15=0,BG15=""),TRUE(),FALSE())</formula>
    </cfRule>
  </conditionalFormatting>
  <conditionalFormatting sqref="BR7:CA14 BR29:CA30">
    <cfRule type="expression" dxfId="106" priority="2">
      <formula>IF(OR(BR7=0,BR7=""),TRUE(),FALSE())</formula>
    </cfRule>
  </conditionalFormatting>
  <conditionalFormatting sqref="BR15:CA28">
    <cfRule type="expression" dxfId="105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8AF61595-EF96-495A-8E60-2B1F55F62A6D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2691C-2861-437F-AD6E-7E8438492D57}">
  <sheetPr codeName="Hoja21"/>
  <dimension ref="A1:CA48"/>
  <sheetViews>
    <sheetView showGridLines="0" zoomScale="70" zoomScaleNormal="70" workbookViewId="0">
      <selection activeCell="AZ22" sqref="AZ22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13 DE JULIO AL 19 DE JULIO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46216</v>
      </c>
      <c r="D5" s="63" t="str">
        <f>CONCATENATE("Lunes ",TEXT(DAY(C5),"00"))</f>
        <v>Lunes 13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14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15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16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17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18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19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44</v>
      </c>
      <c r="E6" s="9" t="s">
        <v>33</v>
      </c>
      <c r="F6" s="10" t="s">
        <v>43</v>
      </c>
      <c r="G6" s="11" t="s">
        <v>21</v>
      </c>
      <c r="H6" s="12" t="s">
        <v>13</v>
      </c>
      <c r="I6" s="13"/>
      <c r="J6" s="10"/>
      <c r="K6" s="14"/>
      <c r="L6" s="11"/>
      <c r="M6" s="15"/>
      <c r="O6" s="8" t="str">
        <f>D6</f>
        <v>JOSE</v>
      </c>
      <c r="P6" s="9" t="str">
        <f>E6</f>
        <v>ANAHY</v>
      </c>
      <c r="Q6" s="10" t="str">
        <f>F6</f>
        <v xml:space="preserve">JHOSELYN </v>
      </c>
      <c r="R6" s="11" t="str">
        <f>G6</f>
        <v>LINDSAY</v>
      </c>
      <c r="S6" s="12" t="str">
        <f>H6</f>
        <v>MILA</v>
      </c>
      <c r="T6" s="13"/>
      <c r="U6" s="10"/>
      <c r="V6" s="14"/>
      <c r="W6" s="11"/>
      <c r="X6" s="15"/>
      <c r="Z6" s="8" t="str">
        <f>O6</f>
        <v>JOSE</v>
      </c>
      <c r="AA6" s="9" t="s">
        <v>33</v>
      </c>
      <c r="AB6" s="10" t="str">
        <f>Q6</f>
        <v xml:space="preserve">JHOSELYN </v>
      </c>
      <c r="AC6" s="11" t="str">
        <f>R6</f>
        <v>LINDSAY</v>
      </c>
      <c r="AD6" s="12" t="str">
        <f>H6</f>
        <v>MILA</v>
      </c>
      <c r="AE6" s="13"/>
      <c r="AF6" s="10"/>
      <c r="AG6" s="14"/>
      <c r="AH6" s="11"/>
      <c r="AI6" s="15"/>
      <c r="AK6" s="8" t="str">
        <f>Z6</f>
        <v>JOSE</v>
      </c>
      <c r="AL6" s="9" t="str">
        <f>AA6</f>
        <v>ANAHY</v>
      </c>
      <c r="AM6" s="10" t="str">
        <f>Q6</f>
        <v xml:space="preserve">JHOSELYN </v>
      </c>
      <c r="AN6" s="11" t="str">
        <f>AC6</f>
        <v>LINDSAY</v>
      </c>
      <c r="AO6" s="12" t="str">
        <f>H6</f>
        <v>MILA</v>
      </c>
      <c r="AP6" s="13"/>
      <c r="AQ6" s="10"/>
      <c r="AR6" s="14"/>
      <c r="AS6" s="11"/>
      <c r="AT6" s="15"/>
      <c r="AV6" s="8" t="str">
        <f>AK6</f>
        <v>JOSE</v>
      </c>
      <c r="AW6" s="9" t="s">
        <v>33</v>
      </c>
      <c r="AX6" s="10" t="str">
        <f>AB6</f>
        <v xml:space="preserve">JHOSELYN </v>
      </c>
      <c r="AY6" s="11" t="str">
        <f>AN6</f>
        <v>LINDSAY</v>
      </c>
      <c r="AZ6" s="12" t="str">
        <f>H6</f>
        <v>MILA</v>
      </c>
      <c r="BA6" s="13"/>
      <c r="BB6" s="10"/>
      <c r="BC6" s="14"/>
      <c r="BD6" s="11"/>
      <c r="BE6" s="15"/>
      <c r="BG6" s="8" t="str">
        <f>AV6</f>
        <v>JOSE</v>
      </c>
      <c r="BH6" s="9" t="s">
        <v>33</v>
      </c>
      <c r="BI6" s="10" t="str">
        <f>AX6</f>
        <v xml:space="preserve">JHOSELYN </v>
      </c>
      <c r="BJ6" s="11" t="str">
        <f>AC6</f>
        <v>LINDSAY</v>
      </c>
      <c r="BK6" s="12" t="str">
        <f>S6</f>
        <v>MILA</v>
      </c>
      <c r="BL6" s="13"/>
      <c r="BM6" s="10"/>
      <c r="BN6" s="14"/>
      <c r="BO6" s="11"/>
      <c r="BP6" s="15"/>
      <c r="BR6" s="8" t="str">
        <f>AV6</f>
        <v>JOSE</v>
      </c>
      <c r="BS6" s="9" t="str">
        <f>BH6</f>
        <v>ANAHY</v>
      </c>
      <c r="BT6" s="10" t="str">
        <f>AX6</f>
        <v xml:space="preserve">JHOSELYN </v>
      </c>
      <c r="BU6" s="11" t="str">
        <f>BJ6</f>
        <v>LINDSAY</v>
      </c>
      <c r="BV6" s="12" t="s">
        <v>13</v>
      </c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>
        <v>0.5</v>
      </c>
      <c r="BB14" s="18">
        <v>0.5</v>
      </c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>
        <v>1</v>
      </c>
      <c r="F15" s="67">
        <v>1</v>
      </c>
      <c r="G15" s="68">
        <v>1</v>
      </c>
      <c r="H15" s="69">
        <v>1</v>
      </c>
      <c r="I15" s="70"/>
      <c r="J15" s="67"/>
      <c r="K15" s="71"/>
      <c r="L15" s="68"/>
      <c r="M15" s="72"/>
      <c r="N15" s="73"/>
      <c r="O15" s="65">
        <v>1</v>
      </c>
      <c r="P15" s="66">
        <v>1</v>
      </c>
      <c r="Q15" s="67">
        <v>1</v>
      </c>
      <c r="R15" s="68">
        <v>1</v>
      </c>
      <c r="S15" s="69">
        <v>1</v>
      </c>
      <c r="T15" s="70">
        <v>1</v>
      </c>
      <c r="U15" s="67">
        <v>1</v>
      </c>
      <c r="V15" s="71"/>
      <c r="W15" s="68"/>
      <c r="X15" s="72"/>
      <c r="Y15" s="73"/>
      <c r="Z15" s="65">
        <v>1</v>
      </c>
      <c r="AA15" s="66">
        <v>1</v>
      </c>
      <c r="AB15" s="67">
        <v>1</v>
      </c>
      <c r="AC15" s="68">
        <v>1</v>
      </c>
      <c r="AD15" s="69">
        <v>1</v>
      </c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>
        <v>1</v>
      </c>
      <c r="AW15" s="66">
        <v>1</v>
      </c>
      <c r="AX15" s="67">
        <v>1</v>
      </c>
      <c r="AY15" s="68">
        <v>1</v>
      </c>
      <c r="AZ15" s="69">
        <v>1</v>
      </c>
      <c r="BA15" s="70"/>
      <c r="BB15" s="67"/>
      <c r="BC15" s="71"/>
      <c r="BD15" s="68"/>
      <c r="BE15" s="72"/>
      <c r="BF15" s="73"/>
      <c r="BG15" s="65"/>
      <c r="BH15" s="66"/>
      <c r="BI15" s="67"/>
      <c r="BJ15" s="68">
        <v>1</v>
      </c>
      <c r="BK15" s="69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>
        <v>0.5</v>
      </c>
      <c r="F16" s="67">
        <v>0.5</v>
      </c>
      <c r="G16" s="68">
        <v>0.5</v>
      </c>
      <c r="H16" s="69">
        <v>0.5</v>
      </c>
      <c r="I16" s="70">
        <v>0.5</v>
      </c>
      <c r="J16" s="67">
        <v>0.5</v>
      </c>
      <c r="K16" s="71"/>
      <c r="L16" s="68"/>
      <c r="M16" s="72"/>
      <c r="N16" s="73"/>
      <c r="O16" s="65">
        <v>0.5</v>
      </c>
      <c r="P16" s="66">
        <v>0.5</v>
      </c>
      <c r="Q16" s="67">
        <v>0.5</v>
      </c>
      <c r="R16" s="68">
        <v>0.5</v>
      </c>
      <c r="S16" s="69">
        <v>0.5</v>
      </c>
      <c r="T16" s="70">
        <v>0.5</v>
      </c>
      <c r="U16" s="67">
        <v>0.5</v>
      </c>
      <c r="V16" s="71"/>
      <c r="W16" s="68"/>
      <c r="X16" s="72"/>
      <c r="Y16" s="73"/>
      <c r="Z16" s="65">
        <v>0.5</v>
      </c>
      <c r="AA16" s="66">
        <v>0.5</v>
      </c>
      <c r="AB16" s="67">
        <v>0.5</v>
      </c>
      <c r="AC16" s="68">
        <v>0.5</v>
      </c>
      <c r="AD16" s="69">
        <v>0.5</v>
      </c>
      <c r="AE16" s="70">
        <v>0.5</v>
      </c>
      <c r="AF16" s="67">
        <v>0.5</v>
      </c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>
        <v>0.5</v>
      </c>
      <c r="AW16" s="66">
        <v>0.5</v>
      </c>
      <c r="AX16" s="67">
        <v>0.5</v>
      </c>
      <c r="AY16" s="68">
        <v>0.5</v>
      </c>
      <c r="AZ16" s="69">
        <v>0.5</v>
      </c>
      <c r="BA16" s="70"/>
      <c r="BB16" s="67"/>
      <c r="BC16" s="71"/>
      <c r="BD16" s="68"/>
      <c r="BE16" s="72"/>
      <c r="BF16" s="73"/>
      <c r="BG16" s="65"/>
      <c r="BH16" s="66"/>
      <c r="BI16" s="67"/>
      <c r="BJ16" s="68">
        <v>0.5</v>
      </c>
      <c r="BK16" s="69"/>
      <c r="BL16" s="70"/>
      <c r="BM16" s="67"/>
      <c r="BN16" s="71"/>
      <c r="BO16" s="68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>
        <v>1</v>
      </c>
      <c r="F17" s="67"/>
      <c r="G17" s="68"/>
      <c r="H17" s="69"/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/>
      <c r="S17" s="69"/>
      <c r="T17" s="70"/>
      <c r="U17" s="67"/>
      <c r="V17" s="71"/>
      <c r="W17" s="68"/>
      <c r="X17" s="72"/>
      <c r="Y17" s="73"/>
      <c r="Z17" s="65"/>
      <c r="AA17" s="66"/>
      <c r="AB17" s="67"/>
      <c r="AC17" s="68">
        <v>1</v>
      </c>
      <c r="AD17" s="69"/>
      <c r="AE17" s="70"/>
      <c r="AF17" s="67"/>
      <c r="AG17" s="71"/>
      <c r="AH17" s="68"/>
      <c r="AI17" s="72"/>
      <c r="AJ17" s="73"/>
      <c r="AK17" s="65"/>
      <c r="AL17" s="66"/>
      <c r="AM17" s="67">
        <v>1</v>
      </c>
      <c r="AN17" s="68"/>
      <c r="AO17" s="69"/>
      <c r="AP17" s="70"/>
      <c r="AQ17" s="67"/>
      <c r="AR17" s="71"/>
      <c r="AS17" s="68"/>
      <c r="AT17" s="72"/>
      <c r="AU17" s="73"/>
      <c r="AV17" s="65"/>
      <c r="AW17" s="66">
        <v>1</v>
      </c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/>
      <c r="BI17" s="67">
        <v>1</v>
      </c>
      <c r="BJ17" s="68"/>
      <c r="BK17" s="69"/>
      <c r="BL17" s="70"/>
      <c r="BM17" s="67"/>
      <c r="BN17" s="71"/>
      <c r="BO17" s="68"/>
      <c r="BP17" s="72"/>
      <c r="BQ17" s="73"/>
      <c r="BR17" s="65">
        <v>1</v>
      </c>
      <c r="BS17" s="66"/>
      <c r="BT17" s="67">
        <v>1</v>
      </c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>
        <v>1</v>
      </c>
      <c r="F18" s="67"/>
      <c r="G18" s="68"/>
      <c r="H18" s="69">
        <v>1</v>
      </c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/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>
        <v>1</v>
      </c>
      <c r="AD18" s="69">
        <v>1</v>
      </c>
      <c r="AE18" s="70"/>
      <c r="AF18" s="67"/>
      <c r="AG18" s="71"/>
      <c r="AH18" s="68"/>
      <c r="AI18" s="72"/>
      <c r="AJ18" s="73"/>
      <c r="AK18" s="65"/>
      <c r="AL18" s="66"/>
      <c r="AM18" s="67">
        <v>1</v>
      </c>
      <c r="AN18" s="68"/>
      <c r="AO18" s="69"/>
      <c r="AP18" s="70"/>
      <c r="AQ18" s="67"/>
      <c r="AR18" s="71"/>
      <c r="AS18" s="68"/>
      <c r="AT18" s="72"/>
      <c r="AU18" s="73"/>
      <c r="AV18" s="65"/>
      <c r="AW18" s="66">
        <v>1</v>
      </c>
      <c r="AX18" s="67"/>
      <c r="AY18" s="68"/>
      <c r="AZ18" s="69"/>
      <c r="BA18" s="70"/>
      <c r="BB18" s="67"/>
      <c r="BC18" s="71"/>
      <c r="BD18" s="68"/>
      <c r="BE18" s="72"/>
      <c r="BF18" s="73"/>
      <c r="BG18" s="65"/>
      <c r="BH18" s="66"/>
      <c r="BI18" s="67">
        <v>1</v>
      </c>
      <c r="BJ18" s="68"/>
      <c r="BK18" s="69">
        <v>1</v>
      </c>
      <c r="BL18" s="70"/>
      <c r="BM18" s="67"/>
      <c r="BN18" s="71"/>
      <c r="BO18" s="68"/>
      <c r="BP18" s="72"/>
      <c r="BQ18" s="73"/>
      <c r="BR18" s="65">
        <v>1</v>
      </c>
      <c r="BS18" s="66"/>
      <c r="BT18" s="67">
        <v>1</v>
      </c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>
        <v>1</v>
      </c>
      <c r="F19" s="67"/>
      <c r="G19" s="68"/>
      <c r="H19" s="69">
        <v>1</v>
      </c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/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>
        <v>1</v>
      </c>
      <c r="AD19" s="69">
        <v>1</v>
      </c>
      <c r="AE19" s="70"/>
      <c r="AF19" s="67"/>
      <c r="AG19" s="71"/>
      <c r="AH19" s="68"/>
      <c r="AI19" s="72"/>
      <c r="AJ19" s="73"/>
      <c r="AK19" s="65"/>
      <c r="AL19" s="66"/>
      <c r="AM19" s="67">
        <v>1</v>
      </c>
      <c r="AN19" s="68"/>
      <c r="AO19" s="69"/>
      <c r="AP19" s="70"/>
      <c r="AQ19" s="67"/>
      <c r="AR19" s="71"/>
      <c r="AS19" s="68"/>
      <c r="AT19" s="72"/>
      <c r="AU19" s="73"/>
      <c r="AV19" s="65"/>
      <c r="AW19" s="66">
        <v>1</v>
      </c>
      <c r="AX19" s="67"/>
      <c r="AY19" s="68"/>
      <c r="AZ19" s="69"/>
      <c r="BA19" s="70"/>
      <c r="BB19" s="67"/>
      <c r="BC19" s="71"/>
      <c r="BD19" s="68"/>
      <c r="BE19" s="72"/>
      <c r="BF19" s="73"/>
      <c r="BG19" s="65"/>
      <c r="BH19" s="66"/>
      <c r="BI19" s="67">
        <v>1</v>
      </c>
      <c r="BJ19" s="68"/>
      <c r="BK19" s="69">
        <v>1</v>
      </c>
      <c r="BL19" s="70"/>
      <c r="BM19" s="67"/>
      <c r="BN19" s="71"/>
      <c r="BO19" s="68"/>
      <c r="BP19" s="72"/>
      <c r="BQ19" s="73"/>
      <c r="BR19" s="65">
        <v>1</v>
      </c>
      <c r="BS19" s="66"/>
      <c r="BT19" s="67">
        <v>1</v>
      </c>
      <c r="BU19" s="68"/>
      <c r="BV19" s="69">
        <v>1</v>
      </c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>
        <v>1</v>
      </c>
      <c r="F20" s="67"/>
      <c r="G20" s="68"/>
      <c r="H20" s="69"/>
      <c r="I20" s="70"/>
      <c r="J20" s="67"/>
      <c r="K20" s="71"/>
      <c r="L20" s="68"/>
      <c r="M20" s="72"/>
      <c r="N20" s="74"/>
      <c r="O20" s="65"/>
      <c r="P20" s="66">
        <v>1</v>
      </c>
      <c r="Q20" s="67"/>
      <c r="R20" s="68">
        <v>1</v>
      </c>
      <c r="S20" s="69"/>
      <c r="T20" s="70"/>
      <c r="U20" s="67"/>
      <c r="V20" s="71"/>
      <c r="W20" s="68"/>
      <c r="X20" s="72"/>
      <c r="Y20" s="74"/>
      <c r="Z20" s="65"/>
      <c r="AA20" s="66"/>
      <c r="AB20" s="67"/>
      <c r="AC20" s="68"/>
      <c r="AD20" s="69">
        <v>1</v>
      </c>
      <c r="AE20" s="70"/>
      <c r="AF20" s="67"/>
      <c r="AG20" s="71"/>
      <c r="AH20" s="68"/>
      <c r="AI20" s="72"/>
      <c r="AJ20" s="74"/>
      <c r="AK20" s="65"/>
      <c r="AL20" s="66"/>
      <c r="AM20" s="67"/>
      <c r="AN20" s="68">
        <v>1</v>
      </c>
      <c r="AO20" s="69">
        <v>1</v>
      </c>
      <c r="AP20" s="70"/>
      <c r="AQ20" s="67"/>
      <c r="AR20" s="71"/>
      <c r="AS20" s="68"/>
      <c r="AT20" s="72"/>
      <c r="AU20" s="74"/>
      <c r="AV20" s="65"/>
      <c r="AW20" s="66">
        <v>1</v>
      </c>
      <c r="AX20" s="67"/>
      <c r="AY20" s="68">
        <v>1</v>
      </c>
      <c r="AZ20" s="69"/>
      <c r="BA20" s="70"/>
      <c r="BB20" s="67"/>
      <c r="BC20" s="71"/>
      <c r="BD20" s="68"/>
      <c r="BE20" s="72"/>
      <c r="BF20" s="74"/>
      <c r="BG20" s="65"/>
      <c r="BH20" s="66"/>
      <c r="BI20" s="67"/>
      <c r="BJ20" s="68">
        <v>1</v>
      </c>
      <c r="BK20" s="69"/>
      <c r="BL20" s="70"/>
      <c r="BM20" s="67"/>
      <c r="BN20" s="71"/>
      <c r="BO20" s="68"/>
      <c r="BP20" s="72"/>
      <c r="BQ20" s="74"/>
      <c r="BR20" s="65">
        <v>1</v>
      </c>
      <c r="BS20" s="66"/>
      <c r="BT20" s="67">
        <v>1</v>
      </c>
      <c r="BU20" s="68">
        <v>1</v>
      </c>
      <c r="BV20" s="69">
        <v>1</v>
      </c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>
        <v>1</v>
      </c>
      <c r="F21" s="67"/>
      <c r="G21" s="68"/>
      <c r="H21" s="69">
        <v>1</v>
      </c>
      <c r="I21" s="70"/>
      <c r="J21" s="67"/>
      <c r="K21" s="71"/>
      <c r="L21" s="68"/>
      <c r="M21" s="72"/>
      <c r="N21" s="73"/>
      <c r="O21" s="65"/>
      <c r="P21" s="66">
        <v>0.5</v>
      </c>
      <c r="Q21" s="67"/>
      <c r="R21" s="68"/>
      <c r="S21" s="69"/>
      <c r="T21" s="70"/>
      <c r="U21" s="67"/>
      <c r="V21" s="71"/>
      <c r="W21" s="68"/>
      <c r="X21" s="72"/>
      <c r="Y21" s="73"/>
      <c r="Z21" s="65"/>
      <c r="AA21" s="66"/>
      <c r="AB21" s="67"/>
      <c r="AC21" s="68">
        <v>1</v>
      </c>
      <c r="AD21" s="69"/>
      <c r="AE21" s="70"/>
      <c r="AF21" s="67"/>
      <c r="AG21" s="71"/>
      <c r="AH21" s="68"/>
      <c r="AI21" s="72"/>
      <c r="AJ21" s="73"/>
      <c r="AK21" s="65"/>
      <c r="AL21" s="66"/>
      <c r="AM21" s="67">
        <v>1</v>
      </c>
      <c r="AN21" s="68"/>
      <c r="AO21" s="69">
        <v>1</v>
      </c>
      <c r="AP21" s="70"/>
      <c r="AQ21" s="67"/>
      <c r="AR21" s="71"/>
      <c r="AS21" s="68"/>
      <c r="AT21" s="72"/>
      <c r="AU21" s="73"/>
      <c r="AV21" s="65"/>
      <c r="AW21" s="66">
        <v>0.5</v>
      </c>
      <c r="AX21" s="67"/>
      <c r="AY21" s="68">
        <v>1</v>
      </c>
      <c r="AZ21" s="69"/>
      <c r="BA21" s="70"/>
      <c r="BB21" s="67"/>
      <c r="BC21" s="71"/>
      <c r="BD21" s="68"/>
      <c r="BE21" s="72"/>
      <c r="BF21" s="73"/>
      <c r="BG21" s="65"/>
      <c r="BH21" s="66"/>
      <c r="BI21" s="67">
        <v>1</v>
      </c>
      <c r="BJ21" s="68"/>
      <c r="BK21" s="69">
        <v>1</v>
      </c>
      <c r="BL21" s="70"/>
      <c r="BM21" s="67"/>
      <c r="BN21" s="71"/>
      <c r="BO21" s="68"/>
      <c r="BP21" s="72"/>
      <c r="BQ21" s="73"/>
      <c r="BR21" s="65"/>
      <c r="BS21" s="66"/>
      <c r="BT21" s="67"/>
      <c r="BU21" s="68"/>
      <c r="BV21" s="69">
        <v>1</v>
      </c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/>
      <c r="G22" s="68"/>
      <c r="H22" s="69">
        <v>1</v>
      </c>
      <c r="I22" s="70"/>
      <c r="J22" s="67"/>
      <c r="K22" s="71"/>
      <c r="L22" s="68"/>
      <c r="M22" s="72"/>
      <c r="N22" s="73"/>
      <c r="O22" s="65"/>
      <c r="P22" s="66"/>
      <c r="Q22" s="67">
        <v>0.5</v>
      </c>
      <c r="R22" s="68">
        <v>1</v>
      </c>
      <c r="S22" s="69"/>
      <c r="T22" s="70"/>
      <c r="U22" s="67"/>
      <c r="V22" s="71"/>
      <c r="W22" s="68"/>
      <c r="X22" s="72"/>
      <c r="Y22" s="73"/>
      <c r="Z22" s="65"/>
      <c r="AA22" s="66"/>
      <c r="AB22" s="67"/>
      <c r="AC22" s="68">
        <v>1</v>
      </c>
      <c r="AD22" s="69">
        <v>1</v>
      </c>
      <c r="AE22" s="70"/>
      <c r="AF22" s="67"/>
      <c r="AG22" s="71"/>
      <c r="AH22" s="68"/>
      <c r="AI22" s="72"/>
      <c r="AJ22" s="73"/>
      <c r="AK22" s="65">
        <v>1</v>
      </c>
      <c r="AL22" s="66"/>
      <c r="AM22" s="67">
        <v>1</v>
      </c>
      <c r="AN22" s="68">
        <v>1</v>
      </c>
      <c r="AO22" s="69"/>
      <c r="AP22" s="70"/>
      <c r="AQ22" s="67"/>
      <c r="AR22" s="71"/>
      <c r="AS22" s="68"/>
      <c r="AT22" s="72"/>
      <c r="AU22" s="73"/>
      <c r="AV22" s="65"/>
      <c r="AW22" s="66"/>
      <c r="AX22" s="67"/>
      <c r="AY22" s="68"/>
      <c r="AZ22" s="69">
        <v>1</v>
      </c>
      <c r="BA22" s="70"/>
      <c r="BB22" s="67"/>
      <c r="BC22" s="71"/>
      <c r="BD22" s="68"/>
      <c r="BE22" s="72"/>
      <c r="BF22" s="73"/>
      <c r="BG22" s="65"/>
      <c r="BH22" s="66"/>
      <c r="BI22" s="67">
        <v>1</v>
      </c>
      <c r="BJ22" s="68">
        <v>1</v>
      </c>
      <c r="BK22" s="69">
        <v>1</v>
      </c>
      <c r="BL22" s="70"/>
      <c r="BM22" s="67"/>
      <c r="BN22" s="71"/>
      <c r="BO22" s="68"/>
      <c r="BP22" s="72"/>
      <c r="BQ22" s="73"/>
      <c r="BR22" s="65">
        <v>1</v>
      </c>
      <c r="BS22" s="66"/>
      <c r="BT22" s="67"/>
      <c r="BU22" s="68">
        <v>1</v>
      </c>
      <c r="BV22" s="69"/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/>
      <c r="E23" s="66"/>
      <c r="F23" s="67"/>
      <c r="G23" s="68"/>
      <c r="H23" s="69">
        <v>1</v>
      </c>
      <c r="I23" s="70"/>
      <c r="J23" s="67"/>
      <c r="K23" s="71"/>
      <c r="L23" s="68"/>
      <c r="M23" s="72"/>
      <c r="N23" s="73"/>
      <c r="O23" s="65"/>
      <c r="P23" s="66"/>
      <c r="Q23" s="67">
        <v>1</v>
      </c>
      <c r="R23" s="68">
        <v>1</v>
      </c>
      <c r="S23" s="69"/>
      <c r="T23" s="70"/>
      <c r="U23" s="67"/>
      <c r="V23" s="71"/>
      <c r="W23" s="68"/>
      <c r="X23" s="72"/>
      <c r="Y23" s="73"/>
      <c r="Z23" s="65"/>
      <c r="AA23" s="66"/>
      <c r="AB23" s="67"/>
      <c r="AC23" s="68">
        <v>1</v>
      </c>
      <c r="AD23" s="69">
        <v>1</v>
      </c>
      <c r="AE23" s="70"/>
      <c r="AF23" s="67"/>
      <c r="AG23" s="71"/>
      <c r="AH23" s="68"/>
      <c r="AI23" s="72"/>
      <c r="AJ23" s="73"/>
      <c r="AK23" s="65"/>
      <c r="AL23" s="66"/>
      <c r="AM23" s="67"/>
      <c r="AN23" s="68">
        <v>1</v>
      </c>
      <c r="AO23" s="69">
        <v>1</v>
      </c>
      <c r="AP23" s="70"/>
      <c r="AQ23" s="67"/>
      <c r="AR23" s="71"/>
      <c r="AS23" s="68"/>
      <c r="AT23" s="72"/>
      <c r="AU23" s="73"/>
      <c r="AV23" s="65"/>
      <c r="AW23" s="66"/>
      <c r="AX23" s="67"/>
      <c r="AY23" s="68">
        <v>1</v>
      </c>
      <c r="AZ23" s="69"/>
      <c r="BA23" s="70"/>
      <c r="BB23" s="67"/>
      <c r="BC23" s="71"/>
      <c r="BD23" s="68"/>
      <c r="BE23" s="72"/>
      <c r="BF23" s="73"/>
      <c r="BG23" s="65">
        <v>1</v>
      </c>
      <c r="BH23" s="66">
        <v>1</v>
      </c>
      <c r="BI23" s="67"/>
      <c r="BJ23" s="68">
        <v>1</v>
      </c>
      <c r="BK23" s="69">
        <v>1</v>
      </c>
      <c r="BL23" s="70"/>
      <c r="BM23" s="67"/>
      <c r="BN23" s="71"/>
      <c r="BO23" s="68"/>
      <c r="BP23" s="72"/>
      <c r="BQ23" s="73"/>
      <c r="BR23" s="65">
        <v>0.5</v>
      </c>
      <c r="BS23" s="66"/>
      <c r="BT23" s="67"/>
      <c r="BU23" s="68">
        <v>1</v>
      </c>
      <c r="BV23" s="69">
        <v>1</v>
      </c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/>
      <c r="E24" s="66"/>
      <c r="F24" s="67"/>
      <c r="G24" s="68"/>
      <c r="H24" s="69">
        <v>1</v>
      </c>
      <c r="I24" s="70"/>
      <c r="J24" s="67"/>
      <c r="K24" s="71"/>
      <c r="L24" s="68"/>
      <c r="M24" s="72"/>
      <c r="N24" s="73"/>
      <c r="O24" s="65"/>
      <c r="P24" s="66"/>
      <c r="Q24" s="67"/>
      <c r="R24" s="68">
        <v>1</v>
      </c>
      <c r="S24" s="69"/>
      <c r="T24" s="70"/>
      <c r="U24" s="67"/>
      <c r="V24" s="71"/>
      <c r="W24" s="68"/>
      <c r="X24" s="72"/>
      <c r="Y24" s="73"/>
      <c r="Z24" s="65"/>
      <c r="AA24" s="66"/>
      <c r="AB24" s="67"/>
      <c r="AC24" s="68">
        <v>1</v>
      </c>
      <c r="AD24" s="69">
        <v>1</v>
      </c>
      <c r="AE24" s="70"/>
      <c r="AF24" s="67"/>
      <c r="AG24" s="71"/>
      <c r="AH24" s="68"/>
      <c r="AI24" s="72"/>
      <c r="AJ24" s="73"/>
      <c r="AK24" s="65">
        <v>1</v>
      </c>
      <c r="AL24" s="66"/>
      <c r="AM24" s="67"/>
      <c r="AN24" s="68">
        <v>1</v>
      </c>
      <c r="AO24" s="69">
        <v>1</v>
      </c>
      <c r="AP24" s="70"/>
      <c r="AQ24" s="67"/>
      <c r="AR24" s="71"/>
      <c r="AS24" s="68"/>
      <c r="AT24" s="72"/>
      <c r="AU24" s="73"/>
      <c r="AV24" s="65"/>
      <c r="AW24" s="66"/>
      <c r="AX24" s="67"/>
      <c r="AY24" s="68">
        <v>1</v>
      </c>
      <c r="AZ24" s="69">
        <v>1</v>
      </c>
      <c r="BA24" s="70"/>
      <c r="BB24" s="67"/>
      <c r="BC24" s="71"/>
      <c r="BD24" s="68"/>
      <c r="BE24" s="72"/>
      <c r="BF24" s="73"/>
      <c r="BG24" s="65"/>
      <c r="BH24" s="66"/>
      <c r="BI24" s="67"/>
      <c r="BJ24" s="68">
        <v>1</v>
      </c>
      <c r="BK24" s="69"/>
      <c r="BL24" s="70"/>
      <c r="BM24" s="67"/>
      <c r="BN24" s="71"/>
      <c r="BO24" s="68"/>
      <c r="BP24" s="72"/>
      <c r="BQ24" s="73"/>
      <c r="BR24" s="65"/>
      <c r="BS24" s="66">
        <v>0.5</v>
      </c>
      <c r="BT24" s="67"/>
      <c r="BU24" s="68">
        <v>1</v>
      </c>
      <c r="BV24" s="69">
        <v>1</v>
      </c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>
        <v>1</v>
      </c>
      <c r="E25" s="66"/>
      <c r="F25" s="67"/>
      <c r="G25" s="68"/>
      <c r="H25" s="69">
        <v>1</v>
      </c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>
        <v>1</v>
      </c>
      <c r="S25" s="69"/>
      <c r="T25" s="70"/>
      <c r="U25" s="67"/>
      <c r="V25" s="71"/>
      <c r="W25" s="68"/>
      <c r="X25" s="72"/>
      <c r="Y25" s="73"/>
      <c r="Z25" s="65"/>
      <c r="AA25" s="66"/>
      <c r="AB25" s="67">
        <v>1</v>
      </c>
      <c r="AC25" s="68">
        <v>1</v>
      </c>
      <c r="AD25" s="69">
        <v>1</v>
      </c>
      <c r="AE25" s="70"/>
      <c r="AF25" s="67"/>
      <c r="AG25" s="71"/>
      <c r="AH25" s="68"/>
      <c r="AI25" s="72"/>
      <c r="AJ25" s="73"/>
      <c r="AK25" s="65">
        <v>1</v>
      </c>
      <c r="AL25" s="66"/>
      <c r="AM25" s="67"/>
      <c r="AN25" s="68">
        <v>1</v>
      </c>
      <c r="AO25" s="69">
        <v>1</v>
      </c>
      <c r="AP25" s="70"/>
      <c r="AQ25" s="67"/>
      <c r="AR25" s="71"/>
      <c r="AS25" s="68"/>
      <c r="AT25" s="72"/>
      <c r="AU25" s="73"/>
      <c r="AV25" s="65">
        <v>1</v>
      </c>
      <c r="AW25" s="66"/>
      <c r="AX25" s="67"/>
      <c r="AY25" s="68">
        <v>1</v>
      </c>
      <c r="AZ25" s="69">
        <v>1</v>
      </c>
      <c r="BA25" s="70"/>
      <c r="BB25" s="67"/>
      <c r="BC25" s="71"/>
      <c r="BD25" s="68"/>
      <c r="BE25" s="72"/>
      <c r="BF25" s="73"/>
      <c r="BG25" s="65">
        <v>1</v>
      </c>
      <c r="BH25" s="66">
        <v>1</v>
      </c>
      <c r="BI25" s="67"/>
      <c r="BJ25" s="68">
        <v>1</v>
      </c>
      <c r="BK25" s="69"/>
      <c r="BL25" s="70"/>
      <c r="BM25" s="67"/>
      <c r="BN25" s="71"/>
      <c r="BO25" s="68"/>
      <c r="BP25" s="72"/>
      <c r="BQ25" s="73"/>
      <c r="BR25" s="65"/>
      <c r="BS25" s="66">
        <v>1</v>
      </c>
      <c r="BT25" s="67"/>
      <c r="BU25" s="68">
        <v>1</v>
      </c>
      <c r="BV25" s="69">
        <v>1</v>
      </c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>
        <v>1</v>
      </c>
      <c r="E26" s="66"/>
      <c r="F26" s="67"/>
      <c r="G26" s="68"/>
      <c r="H26" s="69">
        <v>1</v>
      </c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>
        <v>1</v>
      </c>
      <c r="S26" s="69"/>
      <c r="T26" s="70"/>
      <c r="U26" s="67"/>
      <c r="V26" s="71"/>
      <c r="W26" s="68"/>
      <c r="X26" s="72"/>
      <c r="Y26" s="73"/>
      <c r="Z26" s="65"/>
      <c r="AA26" s="66"/>
      <c r="AB26" s="67">
        <v>1</v>
      </c>
      <c r="AC26" s="68"/>
      <c r="AD26" s="69">
        <v>1</v>
      </c>
      <c r="AE26" s="70"/>
      <c r="AF26" s="67"/>
      <c r="AG26" s="71"/>
      <c r="AH26" s="68"/>
      <c r="AI26" s="72"/>
      <c r="AJ26" s="73"/>
      <c r="AK26" s="65">
        <v>1</v>
      </c>
      <c r="AL26" s="66"/>
      <c r="AM26" s="67"/>
      <c r="AN26" s="68">
        <v>1</v>
      </c>
      <c r="AO26" s="69">
        <v>1</v>
      </c>
      <c r="AP26" s="70"/>
      <c r="AQ26" s="67"/>
      <c r="AR26" s="71"/>
      <c r="AS26" s="68"/>
      <c r="AT26" s="72"/>
      <c r="AU26" s="73"/>
      <c r="AV26" s="65">
        <v>1</v>
      </c>
      <c r="AW26" s="66"/>
      <c r="AX26" s="67"/>
      <c r="AY26" s="68">
        <v>1</v>
      </c>
      <c r="AZ26" s="69">
        <v>1</v>
      </c>
      <c r="BA26" s="70"/>
      <c r="BB26" s="67"/>
      <c r="BC26" s="71"/>
      <c r="BD26" s="68"/>
      <c r="BE26" s="72"/>
      <c r="BF26" s="73"/>
      <c r="BG26" s="65">
        <v>1</v>
      </c>
      <c r="BH26" s="66">
        <v>1</v>
      </c>
      <c r="BI26" s="67"/>
      <c r="BJ26" s="68">
        <v>1</v>
      </c>
      <c r="BK26" s="69"/>
      <c r="BL26" s="70"/>
      <c r="BM26" s="67"/>
      <c r="BN26" s="71"/>
      <c r="BO26" s="68"/>
      <c r="BP26" s="72"/>
      <c r="BQ26" s="73"/>
      <c r="BR26" s="65"/>
      <c r="BS26" s="66">
        <v>1</v>
      </c>
      <c r="BT26" s="67"/>
      <c r="BU26" s="68">
        <v>1</v>
      </c>
      <c r="BV26" s="69">
        <v>1</v>
      </c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>
        <v>1</v>
      </c>
      <c r="E27" s="66"/>
      <c r="F27" s="67"/>
      <c r="G27" s="68"/>
      <c r="H27" s="69">
        <v>1</v>
      </c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>
        <v>1</v>
      </c>
      <c r="S27" s="69"/>
      <c r="T27" s="70"/>
      <c r="U27" s="67"/>
      <c r="V27" s="71"/>
      <c r="W27" s="68"/>
      <c r="X27" s="72"/>
      <c r="Y27" s="73"/>
      <c r="Z27" s="65"/>
      <c r="AA27" s="66"/>
      <c r="AB27" s="67">
        <v>1</v>
      </c>
      <c r="AC27" s="68"/>
      <c r="AD27" s="69">
        <v>1</v>
      </c>
      <c r="AE27" s="70"/>
      <c r="AF27" s="67"/>
      <c r="AG27" s="71"/>
      <c r="AH27" s="68"/>
      <c r="AI27" s="72"/>
      <c r="AJ27" s="73"/>
      <c r="AK27" s="65">
        <v>1</v>
      </c>
      <c r="AL27" s="66"/>
      <c r="AM27" s="67"/>
      <c r="AN27" s="68">
        <v>1</v>
      </c>
      <c r="AO27" s="69">
        <v>1</v>
      </c>
      <c r="AP27" s="70"/>
      <c r="AQ27" s="67"/>
      <c r="AR27" s="71"/>
      <c r="AS27" s="68"/>
      <c r="AT27" s="72"/>
      <c r="AU27" s="73"/>
      <c r="AV27" s="65">
        <v>1</v>
      </c>
      <c r="AW27" s="66"/>
      <c r="AX27" s="67"/>
      <c r="AY27" s="68">
        <v>1</v>
      </c>
      <c r="AZ27" s="69">
        <v>1</v>
      </c>
      <c r="BA27" s="70"/>
      <c r="BB27" s="67"/>
      <c r="BC27" s="71"/>
      <c r="BD27" s="68"/>
      <c r="BE27" s="72"/>
      <c r="BF27" s="73"/>
      <c r="BG27" s="65">
        <v>1</v>
      </c>
      <c r="BH27" s="66">
        <v>1</v>
      </c>
      <c r="BI27" s="67"/>
      <c r="BJ27" s="68">
        <v>1</v>
      </c>
      <c r="BK27" s="69"/>
      <c r="BL27" s="70"/>
      <c r="BM27" s="67"/>
      <c r="BN27" s="71"/>
      <c r="BO27" s="68"/>
      <c r="BP27" s="72"/>
      <c r="BQ27" s="73"/>
      <c r="BR27" s="65"/>
      <c r="BS27" s="66">
        <v>1</v>
      </c>
      <c r="BT27" s="67"/>
      <c r="BU27" s="68">
        <v>1</v>
      </c>
      <c r="BV27" s="69">
        <v>1</v>
      </c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>
        <v>1</v>
      </c>
      <c r="E28" s="66"/>
      <c r="F28" s="67"/>
      <c r="G28" s="68"/>
      <c r="H28" s="69">
        <v>1</v>
      </c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>
        <v>1</v>
      </c>
      <c r="S28" s="69"/>
      <c r="T28" s="70"/>
      <c r="U28" s="67"/>
      <c r="V28" s="71"/>
      <c r="W28" s="68"/>
      <c r="X28" s="72"/>
      <c r="Y28" s="73"/>
      <c r="Z28" s="65"/>
      <c r="AA28" s="66"/>
      <c r="AB28" s="67">
        <v>1</v>
      </c>
      <c r="AC28" s="68"/>
      <c r="AD28" s="69">
        <v>1</v>
      </c>
      <c r="AE28" s="70"/>
      <c r="AF28" s="67"/>
      <c r="AG28" s="71"/>
      <c r="AH28" s="68"/>
      <c r="AI28" s="72"/>
      <c r="AJ28" s="73"/>
      <c r="AK28" s="65"/>
      <c r="AL28" s="66"/>
      <c r="AM28" s="67"/>
      <c r="AN28" s="68">
        <v>1</v>
      </c>
      <c r="AO28" s="71">
        <v>1</v>
      </c>
      <c r="AP28" s="71"/>
      <c r="AQ28" s="71"/>
      <c r="AR28" s="71"/>
      <c r="AS28" s="68"/>
      <c r="AT28" s="72"/>
      <c r="AU28" s="73"/>
      <c r="AV28" s="65">
        <v>1</v>
      </c>
      <c r="AW28" s="66"/>
      <c r="AX28" s="67"/>
      <c r="AY28" s="68">
        <v>1</v>
      </c>
      <c r="AZ28" s="69">
        <v>1</v>
      </c>
      <c r="BA28" s="70"/>
      <c r="BB28" s="67"/>
      <c r="BC28" s="71"/>
      <c r="BD28" s="68"/>
      <c r="BE28" s="72"/>
      <c r="BF28" s="73"/>
      <c r="BG28" s="65">
        <v>1</v>
      </c>
      <c r="BH28" s="66">
        <v>1</v>
      </c>
      <c r="BI28" s="67"/>
      <c r="BJ28" s="68">
        <v>1</v>
      </c>
      <c r="BK28" s="69"/>
      <c r="BL28" s="70"/>
      <c r="BM28" s="67"/>
      <c r="BN28" s="71"/>
      <c r="BO28" s="68"/>
      <c r="BP28" s="72"/>
      <c r="BQ28" s="73"/>
      <c r="BR28" s="65"/>
      <c r="BS28" s="66">
        <v>1</v>
      </c>
      <c r="BT28" s="67"/>
      <c r="BU28" s="68">
        <v>1</v>
      </c>
      <c r="BV28" s="69">
        <v>1</v>
      </c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13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14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15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16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17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18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19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JOSE</v>
      </c>
      <c r="E33" s="31" t="str">
        <f t="shared" si="0"/>
        <v>ANAHY</v>
      </c>
      <c r="F33" s="32" t="str">
        <f t="shared" si="0"/>
        <v xml:space="preserve">JHOSELYN </v>
      </c>
      <c r="G33" s="33" t="str">
        <f t="shared" si="0"/>
        <v>LINDSAY</v>
      </c>
      <c r="H33" s="34" t="str">
        <f t="shared" si="0"/>
        <v>MILA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JOSE</v>
      </c>
      <c r="P33" s="31" t="str">
        <f t="shared" si="1"/>
        <v>ANAHY</v>
      </c>
      <c r="Q33" s="32" t="str">
        <f t="shared" si="1"/>
        <v xml:space="preserve">JHOSELYN </v>
      </c>
      <c r="R33" s="33" t="str">
        <f t="shared" si="1"/>
        <v>LINDSAY</v>
      </c>
      <c r="S33" s="34" t="str">
        <f t="shared" si="1"/>
        <v>MILA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JOSE</v>
      </c>
      <c r="AA33" s="31" t="str">
        <f t="shared" si="2"/>
        <v>ANAHY</v>
      </c>
      <c r="AB33" s="32" t="str">
        <f t="shared" si="2"/>
        <v xml:space="preserve">JHOSELYN </v>
      </c>
      <c r="AC33" s="33" t="str">
        <f t="shared" si="2"/>
        <v>LINDSAY</v>
      </c>
      <c r="AD33" s="34" t="str">
        <f t="shared" si="2"/>
        <v>MILA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JOSE</v>
      </c>
      <c r="AL33" s="31" t="str">
        <f t="shared" si="3"/>
        <v>ANAHY</v>
      </c>
      <c r="AM33" s="32" t="str">
        <f t="shared" si="3"/>
        <v xml:space="preserve">JHOSELYN </v>
      </c>
      <c r="AN33" s="33" t="str">
        <f t="shared" si="3"/>
        <v>LINDSAY</v>
      </c>
      <c r="AO33" s="34" t="str">
        <f t="shared" si="3"/>
        <v>MILA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JOSE</v>
      </c>
      <c r="AW33" s="31" t="str">
        <f t="shared" si="4"/>
        <v>ANAHY</v>
      </c>
      <c r="AX33" s="32" t="str">
        <f t="shared" si="4"/>
        <v xml:space="preserve">JHOSELYN </v>
      </c>
      <c r="AY33" s="33" t="str">
        <f t="shared" si="4"/>
        <v>LINDSAY</v>
      </c>
      <c r="AZ33" s="34" t="str">
        <f t="shared" si="4"/>
        <v>MILA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JOSE</v>
      </c>
      <c r="BH33" s="31" t="str">
        <f t="shared" si="5"/>
        <v>ANAHY</v>
      </c>
      <c r="BI33" s="32" t="str">
        <f t="shared" si="5"/>
        <v xml:space="preserve">JHOSELYN </v>
      </c>
      <c r="BJ33" s="33" t="str">
        <f t="shared" si="5"/>
        <v>LINDSAY</v>
      </c>
      <c r="BK33" s="34" t="str">
        <f t="shared" si="5"/>
        <v>MILA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JOSE</v>
      </c>
      <c r="BS33" s="31" t="str">
        <f t="shared" si="6"/>
        <v>ANAHY</v>
      </c>
      <c r="BT33" s="32" t="str">
        <f t="shared" si="6"/>
        <v xml:space="preserve">JHOSELYN </v>
      </c>
      <c r="BU33" s="33" t="str">
        <f t="shared" si="6"/>
        <v>LINDSAY</v>
      </c>
      <c r="BV33" s="34" t="str">
        <f t="shared" si="6"/>
        <v>MILA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4</v>
      </c>
      <c r="E34" s="48">
        <f t="shared" ref="E34:M34" si="7">SUM(E7:E30)</f>
        <v>6.5</v>
      </c>
      <c r="F34" s="49">
        <f t="shared" si="7"/>
        <v>1.5</v>
      </c>
      <c r="G34" s="50">
        <f t="shared" si="7"/>
        <v>1.5</v>
      </c>
      <c r="H34" s="51">
        <f t="shared" si="7"/>
        <v>11.5</v>
      </c>
      <c r="I34" s="52">
        <f t="shared" si="7"/>
        <v>0.5</v>
      </c>
      <c r="J34" s="49">
        <f t="shared" si="7"/>
        <v>0.5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1.5</v>
      </c>
      <c r="P34" s="48">
        <f t="shared" si="8"/>
        <v>6</v>
      </c>
      <c r="Q34" s="49">
        <f t="shared" si="8"/>
        <v>7</v>
      </c>
      <c r="R34" s="50">
        <f t="shared" si="8"/>
        <v>9.5</v>
      </c>
      <c r="S34" s="51">
        <f t="shared" si="8"/>
        <v>1.5</v>
      </c>
      <c r="T34" s="52">
        <f t="shared" si="8"/>
        <v>1.5</v>
      </c>
      <c r="U34" s="49">
        <f t="shared" si="8"/>
        <v>1.5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1.5</v>
      </c>
      <c r="AA34" s="48">
        <f t="shared" si="9"/>
        <v>1.5</v>
      </c>
      <c r="AB34" s="49">
        <f t="shared" si="9"/>
        <v>5.5</v>
      </c>
      <c r="AC34" s="50">
        <f t="shared" si="9"/>
        <v>9.5</v>
      </c>
      <c r="AD34" s="51">
        <f t="shared" si="9"/>
        <v>11.5</v>
      </c>
      <c r="AE34" s="52">
        <f t="shared" si="9"/>
        <v>0.5</v>
      </c>
      <c r="AF34" s="49">
        <f t="shared" si="9"/>
        <v>0.5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5</v>
      </c>
      <c r="AL34" s="48">
        <f t="shared" si="10"/>
        <v>0</v>
      </c>
      <c r="AM34" s="49">
        <f t="shared" si="10"/>
        <v>5</v>
      </c>
      <c r="AN34" s="50">
        <f t="shared" si="10"/>
        <v>8</v>
      </c>
      <c r="AO34" s="51">
        <f t="shared" si="10"/>
        <v>8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5.5</v>
      </c>
      <c r="AW34" s="48">
        <f t="shared" si="11"/>
        <v>6</v>
      </c>
      <c r="AX34" s="49">
        <f t="shared" si="11"/>
        <v>1.5</v>
      </c>
      <c r="AY34" s="50">
        <f t="shared" si="11"/>
        <v>9.5</v>
      </c>
      <c r="AZ34" s="51">
        <f t="shared" si="11"/>
        <v>7.5</v>
      </c>
      <c r="BA34" s="52">
        <f t="shared" si="11"/>
        <v>0.5</v>
      </c>
      <c r="BB34" s="49">
        <f t="shared" si="11"/>
        <v>0.5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5</v>
      </c>
      <c r="BH34" s="48">
        <f t="shared" si="12"/>
        <v>5</v>
      </c>
      <c r="BI34" s="49">
        <f t="shared" si="12"/>
        <v>5</v>
      </c>
      <c r="BJ34" s="50">
        <f t="shared" si="12"/>
        <v>9.5</v>
      </c>
      <c r="BK34" s="51">
        <f t="shared" si="12"/>
        <v>5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5.5</v>
      </c>
      <c r="BS34" s="48">
        <f t="shared" si="13"/>
        <v>4.5</v>
      </c>
      <c r="BT34" s="49">
        <f t="shared" si="13"/>
        <v>4</v>
      </c>
      <c r="BU34" s="50">
        <f t="shared" si="13"/>
        <v>8</v>
      </c>
      <c r="BV34" s="51">
        <f t="shared" si="13"/>
        <v>9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45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28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47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29.5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46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29.5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55.5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39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54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3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3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  <mergeCell ref="B41:J41"/>
    <mergeCell ref="L41:N41"/>
    <mergeCell ref="B42:J42"/>
    <mergeCell ref="L42:N42"/>
    <mergeCell ref="B43:J43"/>
    <mergeCell ref="L43:N43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</mergeCells>
  <conditionalFormatting sqref="D7:M14 D29:M30">
    <cfRule type="expression" dxfId="104" priority="14">
      <formula>IF(OR(D7=0,D7=""),TRUE(),FALSE())</formula>
    </cfRule>
  </conditionalFormatting>
  <conditionalFormatting sqref="D15:M28">
    <cfRule type="expression" dxfId="103" priority="13">
      <formula>IF(OR(D15=0,D15=""),TRUE(),FALSE())</formula>
    </cfRule>
  </conditionalFormatting>
  <conditionalFormatting sqref="O7:X14 O29:X30">
    <cfRule type="expression" dxfId="102" priority="12">
      <formula>IF(OR(O7=0,O7=""),TRUE(),FALSE())</formula>
    </cfRule>
  </conditionalFormatting>
  <conditionalFormatting sqref="O15:X28">
    <cfRule type="expression" dxfId="101" priority="11">
      <formula>IF(OR(O15=0,O15=""),TRUE(),FALSE())</formula>
    </cfRule>
  </conditionalFormatting>
  <conditionalFormatting sqref="Z7:AI14 Z29:AI30">
    <cfRule type="expression" dxfId="100" priority="10">
      <formula>IF(OR(Z7=0,Z7=""),TRUE(),FALSE())</formula>
    </cfRule>
  </conditionalFormatting>
  <conditionalFormatting sqref="Z15:AI28">
    <cfRule type="expression" dxfId="99" priority="9">
      <formula>IF(OR(Z15=0,Z15=""),TRUE(),FALSE())</formula>
    </cfRule>
  </conditionalFormatting>
  <conditionalFormatting sqref="AK7:AT14 AK29:AT30">
    <cfRule type="expression" dxfId="98" priority="8">
      <formula>IF(OR(AK7=0,AK7=""),TRUE(),FALSE())</formula>
    </cfRule>
  </conditionalFormatting>
  <conditionalFormatting sqref="AK15:AT28">
    <cfRule type="expression" dxfId="97" priority="7">
      <formula>IF(OR(AK15=0,AK15=""),TRUE(),FALSE())</formula>
    </cfRule>
  </conditionalFormatting>
  <conditionalFormatting sqref="AV7:BE14 AV29:BE30">
    <cfRule type="expression" dxfId="96" priority="6">
      <formula>IF(OR(AV7=0,AV7=""),TRUE(),FALSE())</formula>
    </cfRule>
  </conditionalFormatting>
  <conditionalFormatting sqref="AV15:BE28">
    <cfRule type="expression" dxfId="95" priority="5">
      <formula>IF(OR(AV15=0,AV15=""),TRUE(),FALSE())</formula>
    </cfRule>
  </conditionalFormatting>
  <conditionalFormatting sqref="BG7:BP14 BG29:BP30">
    <cfRule type="expression" dxfId="94" priority="4">
      <formula>IF(OR(BG7=0,BG7=""),TRUE(),FALSE())</formula>
    </cfRule>
  </conditionalFormatting>
  <conditionalFormatting sqref="BG15:BP28">
    <cfRule type="expression" dxfId="93" priority="3">
      <formula>IF(OR(BG15=0,BG15=""),TRUE(),FALSE())</formula>
    </cfRule>
  </conditionalFormatting>
  <conditionalFormatting sqref="BR7:CA14 BR29:CA30">
    <cfRule type="expression" dxfId="92" priority="2">
      <formula>IF(OR(BR7=0,BR7=""),TRUE(),FALSE())</formula>
    </cfRule>
  </conditionalFormatting>
  <conditionalFormatting sqref="BR15:CA28">
    <cfRule type="expression" dxfId="91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G7:BP30 BR7:CA30" xr:uid="{EEE58FE5-F65A-4BCF-9BA5-7B3A695A7B3C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457BC-D4F8-4504-AF65-CA80BEBC5094}">
  <sheetPr codeName="Hoja22"/>
  <dimension ref="A1:CA48"/>
  <sheetViews>
    <sheetView showGridLines="0" zoomScale="70" zoomScaleNormal="70" workbookViewId="0">
      <selection activeCell="AC25" sqref="AC25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20 DE JULIO AL 26 DE JULIO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46223</v>
      </c>
      <c r="D5" s="63" t="str">
        <f>CONCATENATE("Lunes ",TEXT(DAY(C5),"00"))</f>
        <v>Lunes 20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21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22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23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24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25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26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44</v>
      </c>
      <c r="E6" s="9" t="s">
        <v>33</v>
      </c>
      <c r="F6" s="10" t="s">
        <v>43</v>
      </c>
      <c r="G6" s="11" t="s">
        <v>21</v>
      </c>
      <c r="H6" s="12" t="s">
        <v>13</v>
      </c>
      <c r="I6" s="13"/>
      <c r="J6" s="10"/>
      <c r="K6" s="14"/>
      <c r="L6" s="11"/>
      <c r="M6" s="15"/>
      <c r="O6" s="8" t="str">
        <f>D6</f>
        <v>JOSE</v>
      </c>
      <c r="P6" s="9" t="str">
        <f>E6</f>
        <v>ANAHY</v>
      </c>
      <c r="Q6" s="10" t="str">
        <f>F6</f>
        <v xml:space="preserve">JHOSELYN </v>
      </c>
      <c r="R6" s="11" t="str">
        <f>G6</f>
        <v>LINDSAY</v>
      </c>
      <c r="S6" s="12" t="str">
        <f>H6</f>
        <v>MILA</v>
      </c>
      <c r="T6" s="13"/>
      <c r="U6" s="10"/>
      <c r="V6" s="14"/>
      <c r="W6" s="11"/>
      <c r="X6" s="15"/>
      <c r="Z6" s="8" t="str">
        <f>O6</f>
        <v>JOSE</v>
      </c>
      <c r="AA6" s="9" t="s">
        <v>33</v>
      </c>
      <c r="AB6" s="10" t="str">
        <f>Q6</f>
        <v xml:space="preserve">JHOSELYN </v>
      </c>
      <c r="AC6" s="11" t="str">
        <f>R6</f>
        <v>LINDSAY</v>
      </c>
      <c r="AD6" s="12" t="str">
        <f>H6</f>
        <v>MILA</v>
      </c>
      <c r="AE6" s="13"/>
      <c r="AF6" s="10"/>
      <c r="AG6" s="14"/>
      <c r="AH6" s="11"/>
      <c r="AI6" s="15"/>
      <c r="AK6" s="8" t="str">
        <f>Z6</f>
        <v>JOSE</v>
      </c>
      <c r="AL6" s="9" t="str">
        <f>AA6</f>
        <v>ANAHY</v>
      </c>
      <c r="AM6" s="10" t="str">
        <f>Q6</f>
        <v xml:space="preserve">JHOSELYN </v>
      </c>
      <c r="AN6" s="11" t="str">
        <f>AC6</f>
        <v>LINDSAY</v>
      </c>
      <c r="AO6" s="12" t="str">
        <f>H6</f>
        <v>MILA</v>
      </c>
      <c r="AP6" s="13"/>
      <c r="AQ6" s="10"/>
      <c r="AR6" s="14"/>
      <c r="AS6" s="11"/>
      <c r="AT6" s="15"/>
      <c r="AV6" s="8" t="str">
        <f>AK6</f>
        <v>JOSE</v>
      </c>
      <c r="AW6" s="9" t="s">
        <v>33</v>
      </c>
      <c r="AX6" s="10" t="str">
        <f>AB6</f>
        <v xml:space="preserve">JHOSELYN </v>
      </c>
      <c r="AY6" s="11" t="str">
        <f>AN6</f>
        <v>LINDSAY</v>
      </c>
      <c r="AZ6" s="12" t="str">
        <f>H6</f>
        <v>MILA</v>
      </c>
      <c r="BA6" s="13"/>
      <c r="BB6" s="10"/>
      <c r="BC6" s="14"/>
      <c r="BD6" s="11"/>
      <c r="BE6" s="15"/>
      <c r="BG6" s="8" t="str">
        <f>AV6</f>
        <v>JOSE</v>
      </c>
      <c r="BH6" s="9" t="s">
        <v>33</v>
      </c>
      <c r="BI6" s="10" t="str">
        <f>AX6</f>
        <v xml:space="preserve">JHOSELYN </v>
      </c>
      <c r="BJ6" s="11" t="str">
        <f>AC6</f>
        <v>LINDSAY</v>
      </c>
      <c r="BK6" s="12" t="str">
        <f>S6</f>
        <v>MILA</v>
      </c>
      <c r="BL6" s="13"/>
      <c r="BM6" s="10"/>
      <c r="BN6" s="14"/>
      <c r="BO6" s="11"/>
      <c r="BP6" s="15"/>
      <c r="BR6" s="8" t="str">
        <f>AV6</f>
        <v>JOSE</v>
      </c>
      <c r="BS6" s="9" t="str">
        <f>BH6</f>
        <v>ANAHY</v>
      </c>
      <c r="BT6" s="10" t="str">
        <f>AX6</f>
        <v xml:space="preserve">JHOSELYN </v>
      </c>
      <c r="BU6" s="11" t="str">
        <f>BJ6</f>
        <v>LINDSAY</v>
      </c>
      <c r="BV6" s="12" t="s">
        <v>13</v>
      </c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>
        <v>0.5</v>
      </c>
      <c r="BB14" s="18">
        <v>0.5</v>
      </c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>
        <v>1</v>
      </c>
      <c r="E15" s="66">
        <v>1</v>
      </c>
      <c r="F15" s="67">
        <v>1</v>
      </c>
      <c r="G15" s="68">
        <v>1</v>
      </c>
      <c r="H15" s="69">
        <v>1</v>
      </c>
      <c r="I15" s="70"/>
      <c r="J15" s="67"/>
      <c r="K15" s="71"/>
      <c r="L15" s="68"/>
      <c r="M15" s="72"/>
      <c r="N15" s="73"/>
      <c r="O15" s="65">
        <v>1</v>
      </c>
      <c r="P15" s="66">
        <v>1</v>
      </c>
      <c r="Q15" s="67">
        <v>1</v>
      </c>
      <c r="R15" s="68">
        <v>1</v>
      </c>
      <c r="S15" s="69">
        <v>1</v>
      </c>
      <c r="T15" s="70"/>
      <c r="U15" s="67"/>
      <c r="V15" s="71"/>
      <c r="W15" s="68"/>
      <c r="X15" s="72"/>
      <c r="Y15" s="73"/>
      <c r="Z15" s="65"/>
      <c r="AA15" s="66"/>
      <c r="AB15" s="67"/>
      <c r="AC15" s="68">
        <v>1</v>
      </c>
      <c r="AD15" s="69">
        <v>1</v>
      </c>
      <c r="AE15" s="70"/>
      <c r="AF15" s="67"/>
      <c r="AG15" s="71"/>
      <c r="AH15" s="68"/>
      <c r="AI15" s="72"/>
      <c r="AJ15" s="73"/>
      <c r="AK15" s="65"/>
      <c r="AL15" s="66"/>
      <c r="AM15" s="67"/>
      <c r="AN15" s="68">
        <v>1</v>
      </c>
      <c r="AO15" s="69">
        <v>1</v>
      </c>
      <c r="AP15" s="70"/>
      <c r="AQ15" s="67"/>
      <c r="AR15" s="71"/>
      <c r="AS15" s="68"/>
      <c r="AT15" s="72"/>
      <c r="AU15" s="73"/>
      <c r="AV15" s="65">
        <v>1</v>
      </c>
      <c r="AW15" s="66">
        <v>1</v>
      </c>
      <c r="AX15" s="67">
        <v>1</v>
      </c>
      <c r="AY15" s="68">
        <v>1</v>
      </c>
      <c r="AZ15" s="69">
        <v>1</v>
      </c>
      <c r="BA15" s="70"/>
      <c r="BB15" s="67"/>
      <c r="BC15" s="71"/>
      <c r="BD15" s="68"/>
      <c r="BE15" s="72"/>
      <c r="BF15" s="73"/>
      <c r="BG15" s="65">
        <v>1</v>
      </c>
      <c r="BH15" s="66">
        <v>1</v>
      </c>
      <c r="BI15" s="67">
        <v>1</v>
      </c>
      <c r="BJ15" s="68">
        <v>1</v>
      </c>
      <c r="BK15" s="68">
        <v>1</v>
      </c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>
        <v>0.5</v>
      </c>
      <c r="E16" s="66">
        <v>0.5</v>
      </c>
      <c r="F16" s="67">
        <v>0.5</v>
      </c>
      <c r="G16" s="68">
        <v>0.5</v>
      </c>
      <c r="H16" s="69">
        <v>0.5</v>
      </c>
      <c r="I16" s="70">
        <v>0.5</v>
      </c>
      <c r="J16" s="67">
        <v>0.5</v>
      </c>
      <c r="K16" s="71"/>
      <c r="L16" s="68"/>
      <c r="M16" s="72"/>
      <c r="N16" s="73"/>
      <c r="O16" s="65">
        <v>0.5</v>
      </c>
      <c r="P16" s="66">
        <v>0.5</v>
      </c>
      <c r="Q16" s="67">
        <v>0.5</v>
      </c>
      <c r="R16" s="68">
        <v>0.5</v>
      </c>
      <c r="S16" s="69">
        <v>0.5</v>
      </c>
      <c r="T16" s="70"/>
      <c r="U16" s="67"/>
      <c r="V16" s="71"/>
      <c r="W16" s="68"/>
      <c r="X16" s="72"/>
      <c r="Y16" s="73"/>
      <c r="Z16" s="65"/>
      <c r="AA16" s="66"/>
      <c r="AB16" s="67"/>
      <c r="AC16" s="68">
        <v>0.5</v>
      </c>
      <c r="AD16" s="69">
        <v>0.5</v>
      </c>
      <c r="AE16" s="70"/>
      <c r="AF16" s="67"/>
      <c r="AG16" s="71"/>
      <c r="AH16" s="68"/>
      <c r="AI16" s="72"/>
      <c r="AJ16" s="73"/>
      <c r="AK16" s="65"/>
      <c r="AL16" s="66"/>
      <c r="AM16" s="67"/>
      <c r="AN16" s="68">
        <v>0.5</v>
      </c>
      <c r="AO16" s="69">
        <v>0.5</v>
      </c>
      <c r="AP16" s="70"/>
      <c r="AQ16" s="67"/>
      <c r="AR16" s="71"/>
      <c r="AS16" s="68"/>
      <c r="AT16" s="72"/>
      <c r="AU16" s="73"/>
      <c r="AV16" s="65">
        <v>0.5</v>
      </c>
      <c r="AW16" s="66">
        <v>0.5</v>
      </c>
      <c r="AX16" s="67">
        <v>0.5</v>
      </c>
      <c r="AY16" s="68">
        <v>0.5</v>
      </c>
      <c r="AZ16" s="69">
        <v>0.5</v>
      </c>
      <c r="BA16" s="70"/>
      <c r="BB16" s="67"/>
      <c r="BC16" s="71"/>
      <c r="BD16" s="68"/>
      <c r="BE16" s="72"/>
      <c r="BF16" s="73"/>
      <c r="BG16" s="65">
        <v>0.5</v>
      </c>
      <c r="BH16" s="69">
        <v>0.5</v>
      </c>
      <c r="BI16" s="67">
        <v>0.5</v>
      </c>
      <c r="BJ16" s="68">
        <v>0.5</v>
      </c>
      <c r="BK16" s="69">
        <v>0.5</v>
      </c>
      <c r="BL16" s="70"/>
      <c r="BM16" s="67"/>
      <c r="BN16" s="71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>
        <v>1</v>
      </c>
      <c r="F17" s="67"/>
      <c r="G17" s="68"/>
      <c r="H17" s="69"/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/>
      <c r="S17" s="69"/>
      <c r="T17" s="70"/>
      <c r="U17" s="67"/>
      <c r="V17" s="71"/>
      <c r="W17" s="68"/>
      <c r="X17" s="72"/>
      <c r="Y17" s="73"/>
      <c r="Z17" s="65"/>
      <c r="AA17" s="66"/>
      <c r="AB17" s="67"/>
      <c r="AC17" s="68">
        <v>1</v>
      </c>
      <c r="AD17" s="69"/>
      <c r="AE17" s="70"/>
      <c r="AF17" s="67"/>
      <c r="AG17" s="71"/>
      <c r="AH17" s="68"/>
      <c r="AI17" s="72"/>
      <c r="AJ17" s="73"/>
      <c r="AK17" s="65"/>
      <c r="AL17" s="66"/>
      <c r="AM17" s="67">
        <v>1</v>
      </c>
      <c r="AN17" s="68"/>
      <c r="AO17" s="69"/>
      <c r="AP17" s="70"/>
      <c r="AQ17" s="67"/>
      <c r="AR17" s="71"/>
      <c r="AS17" s="68"/>
      <c r="AT17" s="72"/>
      <c r="AU17" s="73"/>
      <c r="AV17" s="65"/>
      <c r="AW17" s="66">
        <v>1</v>
      </c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/>
      <c r="BI17" s="67">
        <v>1</v>
      </c>
      <c r="BJ17" s="68"/>
      <c r="BK17" s="69"/>
      <c r="BL17" s="70"/>
      <c r="BM17" s="67"/>
      <c r="BN17" s="71"/>
      <c r="BO17" s="68"/>
      <c r="BP17" s="72"/>
      <c r="BQ17" s="73"/>
      <c r="BR17" s="65">
        <v>1</v>
      </c>
      <c r="BS17" s="66"/>
      <c r="BT17" s="67">
        <v>1</v>
      </c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>
        <v>1</v>
      </c>
      <c r="F18" s="67"/>
      <c r="G18" s="68"/>
      <c r="H18" s="69">
        <v>1</v>
      </c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/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>
        <v>1</v>
      </c>
      <c r="AD18" s="69">
        <v>1</v>
      </c>
      <c r="AE18" s="70"/>
      <c r="AF18" s="67"/>
      <c r="AG18" s="71"/>
      <c r="AH18" s="68"/>
      <c r="AI18" s="72"/>
      <c r="AJ18" s="73"/>
      <c r="AK18" s="65"/>
      <c r="AL18" s="66"/>
      <c r="AM18" s="67">
        <v>1</v>
      </c>
      <c r="AN18" s="68"/>
      <c r="AO18" s="69"/>
      <c r="AP18" s="70"/>
      <c r="AQ18" s="67"/>
      <c r="AR18" s="71"/>
      <c r="AS18" s="68"/>
      <c r="AT18" s="72"/>
      <c r="AU18" s="73"/>
      <c r="AV18" s="65"/>
      <c r="AW18" s="66">
        <v>1</v>
      </c>
      <c r="AX18" s="67"/>
      <c r="AY18" s="68"/>
      <c r="AZ18" s="69"/>
      <c r="BA18" s="70"/>
      <c r="BB18" s="67"/>
      <c r="BC18" s="71"/>
      <c r="BD18" s="68"/>
      <c r="BE18" s="72"/>
      <c r="BF18" s="73"/>
      <c r="BG18" s="65"/>
      <c r="BH18" s="66"/>
      <c r="BI18" s="67">
        <v>1</v>
      </c>
      <c r="BJ18" s="68"/>
      <c r="BK18" s="69">
        <v>1</v>
      </c>
      <c r="BL18" s="70"/>
      <c r="BM18" s="67"/>
      <c r="BN18" s="71"/>
      <c r="BO18" s="68"/>
      <c r="BP18" s="72"/>
      <c r="BQ18" s="73"/>
      <c r="BR18" s="65">
        <v>1</v>
      </c>
      <c r="BS18" s="66"/>
      <c r="BT18" s="67">
        <v>1</v>
      </c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>
        <v>1</v>
      </c>
      <c r="F19" s="67"/>
      <c r="G19" s="68"/>
      <c r="H19" s="69">
        <v>1</v>
      </c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/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>
        <v>1</v>
      </c>
      <c r="AD19" s="69">
        <v>1</v>
      </c>
      <c r="AE19" s="70"/>
      <c r="AF19" s="67"/>
      <c r="AG19" s="71"/>
      <c r="AH19" s="68"/>
      <c r="AI19" s="72"/>
      <c r="AJ19" s="73"/>
      <c r="AK19" s="65"/>
      <c r="AL19" s="66"/>
      <c r="AM19" s="67">
        <v>1</v>
      </c>
      <c r="AN19" s="68"/>
      <c r="AO19" s="69"/>
      <c r="AP19" s="70"/>
      <c r="AQ19" s="67"/>
      <c r="AR19" s="71"/>
      <c r="AS19" s="68"/>
      <c r="AT19" s="72"/>
      <c r="AU19" s="73"/>
      <c r="AV19" s="65"/>
      <c r="AW19" s="66">
        <v>1</v>
      </c>
      <c r="AX19" s="67"/>
      <c r="AY19" s="68"/>
      <c r="AZ19" s="69"/>
      <c r="BA19" s="70"/>
      <c r="BB19" s="67"/>
      <c r="BC19" s="71"/>
      <c r="BD19" s="68"/>
      <c r="BE19" s="72"/>
      <c r="BF19" s="73"/>
      <c r="BG19" s="65"/>
      <c r="BH19" s="66"/>
      <c r="BI19" s="67">
        <v>1</v>
      </c>
      <c r="BJ19" s="68"/>
      <c r="BK19" s="69">
        <v>1</v>
      </c>
      <c r="BL19" s="70"/>
      <c r="BM19" s="67"/>
      <c r="BN19" s="71"/>
      <c r="BO19" s="68"/>
      <c r="BP19" s="72"/>
      <c r="BQ19" s="73"/>
      <c r="BR19" s="65">
        <v>1</v>
      </c>
      <c r="BS19" s="66"/>
      <c r="BT19" s="67">
        <v>1</v>
      </c>
      <c r="BU19" s="68"/>
      <c r="BV19" s="69">
        <v>1</v>
      </c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>
        <v>1</v>
      </c>
      <c r="F20" s="67"/>
      <c r="G20" s="68"/>
      <c r="H20" s="69"/>
      <c r="I20" s="70"/>
      <c r="J20" s="67"/>
      <c r="K20" s="71"/>
      <c r="L20" s="68"/>
      <c r="M20" s="72"/>
      <c r="N20" s="74"/>
      <c r="O20" s="65"/>
      <c r="P20" s="66">
        <v>1</v>
      </c>
      <c r="Q20" s="67"/>
      <c r="R20" s="68">
        <v>1</v>
      </c>
      <c r="S20" s="69"/>
      <c r="T20" s="70"/>
      <c r="U20" s="67"/>
      <c r="V20" s="71"/>
      <c r="W20" s="68"/>
      <c r="X20" s="72"/>
      <c r="Y20" s="74"/>
      <c r="Z20" s="65"/>
      <c r="AA20" s="66"/>
      <c r="AB20" s="67"/>
      <c r="AC20" s="68"/>
      <c r="AD20" s="69">
        <v>1</v>
      </c>
      <c r="AE20" s="70"/>
      <c r="AF20" s="67"/>
      <c r="AG20" s="71"/>
      <c r="AH20" s="68"/>
      <c r="AI20" s="72"/>
      <c r="AJ20" s="74"/>
      <c r="AK20" s="65"/>
      <c r="AL20" s="66"/>
      <c r="AM20" s="67"/>
      <c r="AN20" s="68">
        <v>1</v>
      </c>
      <c r="AO20" s="69">
        <v>1</v>
      </c>
      <c r="AP20" s="70"/>
      <c r="AQ20" s="67"/>
      <c r="AR20" s="71"/>
      <c r="AS20" s="68"/>
      <c r="AT20" s="72"/>
      <c r="AU20" s="74"/>
      <c r="AV20" s="65"/>
      <c r="AW20" s="66">
        <v>1</v>
      </c>
      <c r="AX20" s="67"/>
      <c r="AY20" s="68">
        <v>1</v>
      </c>
      <c r="AZ20" s="69"/>
      <c r="BA20" s="70"/>
      <c r="BB20" s="67"/>
      <c r="BC20" s="71"/>
      <c r="BD20" s="68"/>
      <c r="BE20" s="72"/>
      <c r="BF20" s="74"/>
      <c r="BG20" s="65"/>
      <c r="BH20" s="66"/>
      <c r="BI20" s="67"/>
      <c r="BJ20" s="68">
        <v>1</v>
      </c>
      <c r="BK20" s="69"/>
      <c r="BL20" s="70"/>
      <c r="BM20" s="67"/>
      <c r="BN20" s="71"/>
      <c r="BO20" s="68"/>
      <c r="BP20" s="72"/>
      <c r="BQ20" s="74"/>
      <c r="BR20" s="65">
        <v>1</v>
      </c>
      <c r="BS20" s="66"/>
      <c r="BT20" s="67">
        <v>1</v>
      </c>
      <c r="BU20" s="68">
        <v>1</v>
      </c>
      <c r="BV20" s="69">
        <v>1</v>
      </c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>
        <v>1</v>
      </c>
      <c r="F21" s="67"/>
      <c r="G21" s="68"/>
      <c r="H21" s="69">
        <v>1</v>
      </c>
      <c r="I21" s="70"/>
      <c r="J21" s="67"/>
      <c r="K21" s="71"/>
      <c r="L21" s="68"/>
      <c r="M21" s="72"/>
      <c r="N21" s="73"/>
      <c r="O21" s="65"/>
      <c r="P21" s="66">
        <v>0.5</v>
      </c>
      <c r="Q21" s="67"/>
      <c r="R21" s="68"/>
      <c r="S21" s="69"/>
      <c r="T21" s="70"/>
      <c r="U21" s="67"/>
      <c r="V21" s="71"/>
      <c r="W21" s="68"/>
      <c r="X21" s="72"/>
      <c r="Y21" s="73"/>
      <c r="Z21" s="65"/>
      <c r="AA21" s="66"/>
      <c r="AB21" s="67"/>
      <c r="AC21" s="68">
        <v>1</v>
      </c>
      <c r="AD21" s="69"/>
      <c r="AE21" s="70"/>
      <c r="AF21" s="67"/>
      <c r="AG21" s="71"/>
      <c r="AH21" s="68"/>
      <c r="AI21" s="72"/>
      <c r="AJ21" s="73"/>
      <c r="AK21" s="65"/>
      <c r="AL21" s="66"/>
      <c r="AM21" s="67">
        <v>1</v>
      </c>
      <c r="AN21" s="68"/>
      <c r="AO21" s="69">
        <v>1</v>
      </c>
      <c r="AP21" s="70"/>
      <c r="AQ21" s="67"/>
      <c r="AR21" s="71"/>
      <c r="AS21" s="68"/>
      <c r="AT21" s="72"/>
      <c r="AU21" s="73"/>
      <c r="AV21" s="65"/>
      <c r="AW21" s="66">
        <v>0.5</v>
      </c>
      <c r="AX21" s="67"/>
      <c r="AY21" s="68">
        <v>1</v>
      </c>
      <c r="AZ21" s="69"/>
      <c r="BA21" s="70"/>
      <c r="BB21" s="67"/>
      <c r="BC21" s="71"/>
      <c r="BD21" s="68"/>
      <c r="BE21" s="72"/>
      <c r="BF21" s="73"/>
      <c r="BG21" s="65"/>
      <c r="BH21" s="66"/>
      <c r="BI21" s="67">
        <v>1</v>
      </c>
      <c r="BJ21" s="68"/>
      <c r="BK21" s="69">
        <v>1</v>
      </c>
      <c r="BL21" s="70"/>
      <c r="BM21" s="67"/>
      <c r="BN21" s="71"/>
      <c r="BO21" s="68"/>
      <c r="BP21" s="72"/>
      <c r="BQ21" s="73"/>
      <c r="BR21" s="65"/>
      <c r="BS21" s="66"/>
      <c r="BT21" s="67"/>
      <c r="BU21" s="68"/>
      <c r="BV21" s="69">
        <v>1</v>
      </c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/>
      <c r="G22" s="68"/>
      <c r="H22" s="69">
        <v>1</v>
      </c>
      <c r="I22" s="70"/>
      <c r="J22" s="67"/>
      <c r="K22" s="71"/>
      <c r="L22" s="68"/>
      <c r="M22" s="72"/>
      <c r="N22" s="73"/>
      <c r="O22" s="65"/>
      <c r="P22" s="66"/>
      <c r="Q22" s="67">
        <v>0.5</v>
      </c>
      <c r="R22" s="68">
        <v>1</v>
      </c>
      <c r="S22" s="69"/>
      <c r="T22" s="70"/>
      <c r="U22" s="67"/>
      <c r="V22" s="71"/>
      <c r="W22" s="68"/>
      <c r="X22" s="72"/>
      <c r="Y22" s="73"/>
      <c r="Z22" s="65"/>
      <c r="AA22" s="66"/>
      <c r="AB22" s="67"/>
      <c r="AC22" s="68">
        <v>1</v>
      </c>
      <c r="AD22" s="69">
        <v>1</v>
      </c>
      <c r="AE22" s="70"/>
      <c r="AF22" s="67"/>
      <c r="AG22" s="71"/>
      <c r="AH22" s="68"/>
      <c r="AI22" s="72"/>
      <c r="AJ22" s="73"/>
      <c r="AK22" s="65">
        <v>1</v>
      </c>
      <c r="AL22" s="66"/>
      <c r="AM22" s="67">
        <v>1</v>
      </c>
      <c r="AN22" s="68">
        <v>1</v>
      </c>
      <c r="AO22" s="69"/>
      <c r="AP22" s="70"/>
      <c r="AQ22" s="67"/>
      <c r="AR22" s="71"/>
      <c r="AS22" s="68"/>
      <c r="AT22" s="72"/>
      <c r="AU22" s="73"/>
      <c r="AV22" s="65"/>
      <c r="AW22" s="66"/>
      <c r="AX22" s="67"/>
      <c r="AY22" s="68"/>
      <c r="AZ22" s="69">
        <v>1</v>
      </c>
      <c r="BA22" s="70"/>
      <c r="BB22" s="67"/>
      <c r="BC22" s="71"/>
      <c r="BD22" s="68"/>
      <c r="BE22" s="72"/>
      <c r="BF22" s="73"/>
      <c r="BG22" s="65"/>
      <c r="BH22" s="66"/>
      <c r="BI22" s="67">
        <v>1</v>
      </c>
      <c r="BJ22" s="68">
        <v>1</v>
      </c>
      <c r="BK22" s="69">
        <v>1</v>
      </c>
      <c r="BL22" s="70"/>
      <c r="BM22" s="67"/>
      <c r="BN22" s="71"/>
      <c r="BO22" s="68"/>
      <c r="BP22" s="72"/>
      <c r="BQ22" s="73"/>
      <c r="BR22" s="65">
        <v>1</v>
      </c>
      <c r="BS22" s="66"/>
      <c r="BT22" s="67"/>
      <c r="BU22" s="68">
        <v>1</v>
      </c>
      <c r="BV22" s="69"/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/>
      <c r="E23" s="66"/>
      <c r="F23" s="67"/>
      <c r="G23" s="68"/>
      <c r="H23" s="69">
        <v>1</v>
      </c>
      <c r="I23" s="70"/>
      <c r="J23" s="67"/>
      <c r="K23" s="71"/>
      <c r="L23" s="68"/>
      <c r="M23" s="72"/>
      <c r="N23" s="73"/>
      <c r="O23" s="65"/>
      <c r="P23" s="66"/>
      <c r="Q23" s="67">
        <v>1</v>
      </c>
      <c r="R23" s="68">
        <v>1</v>
      </c>
      <c r="S23" s="69"/>
      <c r="T23" s="70"/>
      <c r="U23" s="67"/>
      <c r="V23" s="71"/>
      <c r="W23" s="68"/>
      <c r="X23" s="72"/>
      <c r="Y23" s="73"/>
      <c r="Z23" s="65"/>
      <c r="AA23" s="66"/>
      <c r="AB23" s="67"/>
      <c r="AC23" s="68">
        <v>1</v>
      </c>
      <c r="AD23" s="69">
        <v>1</v>
      </c>
      <c r="AE23" s="70"/>
      <c r="AF23" s="67"/>
      <c r="AG23" s="71"/>
      <c r="AH23" s="68"/>
      <c r="AI23" s="72"/>
      <c r="AJ23" s="73"/>
      <c r="AK23" s="65"/>
      <c r="AL23" s="66"/>
      <c r="AM23" s="67"/>
      <c r="AN23" s="68">
        <v>1</v>
      </c>
      <c r="AO23" s="69">
        <v>1</v>
      </c>
      <c r="AP23" s="70"/>
      <c r="AQ23" s="67"/>
      <c r="AR23" s="71"/>
      <c r="AS23" s="68"/>
      <c r="AT23" s="72"/>
      <c r="AU23" s="73"/>
      <c r="AV23" s="65"/>
      <c r="AW23" s="66"/>
      <c r="AX23" s="67"/>
      <c r="AY23" s="68">
        <v>1</v>
      </c>
      <c r="AZ23" s="69"/>
      <c r="BA23" s="70"/>
      <c r="BB23" s="67"/>
      <c r="BC23" s="71"/>
      <c r="BD23" s="68"/>
      <c r="BE23" s="72"/>
      <c r="BF23" s="73"/>
      <c r="BG23" s="65">
        <v>1</v>
      </c>
      <c r="BH23" s="66">
        <v>1</v>
      </c>
      <c r="BI23" s="67"/>
      <c r="BJ23" s="68">
        <v>1</v>
      </c>
      <c r="BK23" s="69">
        <v>1</v>
      </c>
      <c r="BL23" s="70"/>
      <c r="BM23" s="67"/>
      <c r="BN23" s="71"/>
      <c r="BO23" s="68"/>
      <c r="BP23" s="72"/>
      <c r="BQ23" s="73"/>
      <c r="BR23" s="65">
        <v>0.5</v>
      </c>
      <c r="BS23" s="66"/>
      <c r="BT23" s="67"/>
      <c r="BU23" s="68">
        <v>1</v>
      </c>
      <c r="BV23" s="69">
        <v>1</v>
      </c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/>
      <c r="E24" s="66"/>
      <c r="F24" s="67"/>
      <c r="G24" s="68"/>
      <c r="H24" s="69">
        <v>1</v>
      </c>
      <c r="I24" s="70"/>
      <c r="J24" s="67"/>
      <c r="K24" s="71"/>
      <c r="L24" s="68"/>
      <c r="M24" s="72"/>
      <c r="N24" s="73"/>
      <c r="O24" s="65"/>
      <c r="P24" s="66"/>
      <c r="Q24" s="67"/>
      <c r="R24" s="68">
        <v>1</v>
      </c>
      <c r="S24" s="69"/>
      <c r="T24" s="70"/>
      <c r="U24" s="67"/>
      <c r="V24" s="71"/>
      <c r="W24" s="68"/>
      <c r="X24" s="72"/>
      <c r="Y24" s="73"/>
      <c r="Z24" s="65"/>
      <c r="AA24" s="66"/>
      <c r="AB24" s="67"/>
      <c r="AC24" s="68">
        <v>1</v>
      </c>
      <c r="AD24" s="69">
        <v>1</v>
      </c>
      <c r="AE24" s="70"/>
      <c r="AF24" s="67"/>
      <c r="AG24" s="71"/>
      <c r="AH24" s="68"/>
      <c r="AI24" s="72"/>
      <c r="AJ24" s="73"/>
      <c r="AK24" s="65">
        <v>1</v>
      </c>
      <c r="AL24" s="66"/>
      <c r="AM24" s="67"/>
      <c r="AN24" s="68">
        <v>1</v>
      </c>
      <c r="AO24" s="69">
        <v>1</v>
      </c>
      <c r="AP24" s="70"/>
      <c r="AQ24" s="67"/>
      <c r="AR24" s="71"/>
      <c r="AS24" s="68"/>
      <c r="AT24" s="72"/>
      <c r="AU24" s="73"/>
      <c r="AV24" s="65"/>
      <c r="AW24" s="66"/>
      <c r="AX24" s="67"/>
      <c r="AY24" s="68">
        <v>1</v>
      </c>
      <c r="AZ24" s="69">
        <v>1</v>
      </c>
      <c r="BA24" s="70"/>
      <c r="BB24" s="67"/>
      <c r="BC24" s="71"/>
      <c r="BD24" s="68"/>
      <c r="BE24" s="72"/>
      <c r="BF24" s="73"/>
      <c r="BG24" s="65"/>
      <c r="BH24" s="66"/>
      <c r="BI24" s="67"/>
      <c r="BJ24" s="68">
        <v>1</v>
      </c>
      <c r="BK24" s="69"/>
      <c r="BL24" s="70"/>
      <c r="BM24" s="67"/>
      <c r="BN24" s="71"/>
      <c r="BO24" s="68"/>
      <c r="BP24" s="72"/>
      <c r="BQ24" s="73"/>
      <c r="BR24" s="65"/>
      <c r="BS24" s="66">
        <v>0.5</v>
      </c>
      <c r="BT24" s="67"/>
      <c r="BU24" s="68">
        <v>1</v>
      </c>
      <c r="BV24" s="69">
        <v>1</v>
      </c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>
        <v>1</v>
      </c>
      <c r="E25" s="66"/>
      <c r="F25" s="67"/>
      <c r="G25" s="68"/>
      <c r="H25" s="69">
        <v>1</v>
      </c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>
        <v>1</v>
      </c>
      <c r="S25" s="69"/>
      <c r="T25" s="70"/>
      <c r="U25" s="67"/>
      <c r="V25" s="71"/>
      <c r="W25" s="68"/>
      <c r="X25" s="72"/>
      <c r="Y25" s="73"/>
      <c r="Z25" s="65"/>
      <c r="AA25" s="66"/>
      <c r="AB25" s="67">
        <v>1</v>
      </c>
      <c r="AC25" s="68">
        <v>1</v>
      </c>
      <c r="AD25" s="69">
        <v>1</v>
      </c>
      <c r="AE25" s="70"/>
      <c r="AF25" s="67"/>
      <c r="AG25" s="71"/>
      <c r="AH25" s="68"/>
      <c r="AI25" s="72"/>
      <c r="AJ25" s="73"/>
      <c r="AK25" s="65">
        <v>1</v>
      </c>
      <c r="AL25" s="66"/>
      <c r="AM25" s="67"/>
      <c r="AN25" s="68">
        <v>1</v>
      </c>
      <c r="AO25" s="69">
        <v>1</v>
      </c>
      <c r="AP25" s="70"/>
      <c r="AQ25" s="67"/>
      <c r="AR25" s="71"/>
      <c r="AS25" s="68"/>
      <c r="AT25" s="72"/>
      <c r="AU25" s="73"/>
      <c r="AV25" s="65">
        <v>1</v>
      </c>
      <c r="AW25" s="66"/>
      <c r="AX25" s="67"/>
      <c r="AY25" s="68">
        <v>1</v>
      </c>
      <c r="AZ25" s="69">
        <v>1</v>
      </c>
      <c r="BA25" s="70"/>
      <c r="BB25" s="67"/>
      <c r="BC25" s="71"/>
      <c r="BD25" s="68"/>
      <c r="BE25" s="72"/>
      <c r="BF25" s="73"/>
      <c r="BG25" s="65">
        <v>1</v>
      </c>
      <c r="BH25" s="66">
        <v>1</v>
      </c>
      <c r="BI25" s="67"/>
      <c r="BJ25" s="68">
        <v>1</v>
      </c>
      <c r="BK25" s="69"/>
      <c r="BL25" s="70"/>
      <c r="BM25" s="67"/>
      <c r="BN25" s="71"/>
      <c r="BO25" s="68"/>
      <c r="BP25" s="72"/>
      <c r="BQ25" s="73"/>
      <c r="BR25" s="65"/>
      <c r="BS25" s="66">
        <v>1</v>
      </c>
      <c r="BT25" s="67"/>
      <c r="BU25" s="68">
        <v>1</v>
      </c>
      <c r="BV25" s="69">
        <v>1</v>
      </c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>
        <v>1</v>
      </c>
      <c r="E26" s="66"/>
      <c r="F26" s="67"/>
      <c r="G26" s="68"/>
      <c r="H26" s="69">
        <v>1</v>
      </c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>
        <v>1</v>
      </c>
      <c r="S26" s="69"/>
      <c r="T26" s="70"/>
      <c r="U26" s="67"/>
      <c r="V26" s="71"/>
      <c r="W26" s="68"/>
      <c r="X26" s="72"/>
      <c r="Y26" s="73"/>
      <c r="Z26" s="65"/>
      <c r="AA26" s="66"/>
      <c r="AB26" s="67">
        <v>1</v>
      </c>
      <c r="AC26" s="68"/>
      <c r="AD26" s="69">
        <v>1</v>
      </c>
      <c r="AE26" s="70"/>
      <c r="AF26" s="67"/>
      <c r="AG26" s="71"/>
      <c r="AH26" s="68"/>
      <c r="AI26" s="72"/>
      <c r="AJ26" s="73"/>
      <c r="AK26" s="65">
        <v>1</v>
      </c>
      <c r="AL26" s="66"/>
      <c r="AM26" s="67"/>
      <c r="AN26" s="68">
        <v>1</v>
      </c>
      <c r="AO26" s="69">
        <v>1</v>
      </c>
      <c r="AP26" s="70"/>
      <c r="AQ26" s="67"/>
      <c r="AR26" s="71"/>
      <c r="AS26" s="68"/>
      <c r="AT26" s="72"/>
      <c r="AU26" s="73"/>
      <c r="AV26" s="65">
        <v>1</v>
      </c>
      <c r="AW26" s="66"/>
      <c r="AX26" s="67"/>
      <c r="AY26" s="68">
        <v>1</v>
      </c>
      <c r="AZ26" s="69">
        <v>1</v>
      </c>
      <c r="BA26" s="70"/>
      <c r="BB26" s="67"/>
      <c r="BC26" s="71"/>
      <c r="BD26" s="68"/>
      <c r="BE26" s="72"/>
      <c r="BF26" s="73"/>
      <c r="BG26" s="65">
        <v>1</v>
      </c>
      <c r="BH26" s="66">
        <v>1</v>
      </c>
      <c r="BI26" s="67"/>
      <c r="BJ26" s="68">
        <v>1</v>
      </c>
      <c r="BK26" s="69"/>
      <c r="BL26" s="70"/>
      <c r="BM26" s="67"/>
      <c r="BN26" s="71"/>
      <c r="BO26" s="68"/>
      <c r="BP26" s="72"/>
      <c r="BQ26" s="73"/>
      <c r="BR26" s="65"/>
      <c r="BS26" s="66">
        <v>1</v>
      </c>
      <c r="BT26" s="67"/>
      <c r="BU26" s="68">
        <v>1</v>
      </c>
      <c r="BV26" s="69">
        <v>1</v>
      </c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>
        <v>1</v>
      </c>
      <c r="E27" s="66"/>
      <c r="F27" s="67"/>
      <c r="G27" s="68"/>
      <c r="H27" s="69">
        <v>1</v>
      </c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>
        <v>1</v>
      </c>
      <c r="S27" s="69"/>
      <c r="T27" s="70"/>
      <c r="U27" s="67"/>
      <c r="V27" s="71"/>
      <c r="W27" s="68"/>
      <c r="X27" s="72"/>
      <c r="Y27" s="73"/>
      <c r="Z27" s="65"/>
      <c r="AA27" s="66"/>
      <c r="AB27" s="67">
        <v>1</v>
      </c>
      <c r="AC27" s="68"/>
      <c r="AD27" s="69">
        <v>1</v>
      </c>
      <c r="AE27" s="70"/>
      <c r="AF27" s="67"/>
      <c r="AG27" s="71"/>
      <c r="AH27" s="68"/>
      <c r="AI27" s="72"/>
      <c r="AJ27" s="73"/>
      <c r="AK27" s="65">
        <v>1</v>
      </c>
      <c r="AL27" s="66"/>
      <c r="AM27" s="67"/>
      <c r="AN27" s="68">
        <v>1</v>
      </c>
      <c r="AO27" s="69">
        <v>1</v>
      </c>
      <c r="AP27" s="70"/>
      <c r="AQ27" s="67"/>
      <c r="AR27" s="71"/>
      <c r="AS27" s="68"/>
      <c r="AT27" s="72"/>
      <c r="AU27" s="73"/>
      <c r="AV27" s="65">
        <v>1</v>
      </c>
      <c r="AW27" s="66"/>
      <c r="AX27" s="67"/>
      <c r="AY27" s="68">
        <v>1</v>
      </c>
      <c r="AZ27" s="69">
        <v>1</v>
      </c>
      <c r="BA27" s="70"/>
      <c r="BB27" s="67"/>
      <c r="BC27" s="71"/>
      <c r="BD27" s="68"/>
      <c r="BE27" s="72"/>
      <c r="BF27" s="73"/>
      <c r="BG27" s="65">
        <v>1</v>
      </c>
      <c r="BH27" s="66">
        <v>1</v>
      </c>
      <c r="BI27" s="67"/>
      <c r="BJ27" s="68">
        <v>1</v>
      </c>
      <c r="BK27" s="69"/>
      <c r="BL27" s="70"/>
      <c r="BM27" s="67"/>
      <c r="BN27" s="71"/>
      <c r="BO27" s="68"/>
      <c r="BP27" s="72"/>
      <c r="BQ27" s="73"/>
      <c r="BR27" s="65"/>
      <c r="BS27" s="66">
        <v>1</v>
      </c>
      <c r="BT27" s="67"/>
      <c r="BU27" s="68">
        <v>1</v>
      </c>
      <c r="BV27" s="69">
        <v>1</v>
      </c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>
        <v>1</v>
      </c>
      <c r="E28" s="66"/>
      <c r="F28" s="67"/>
      <c r="G28" s="68"/>
      <c r="H28" s="69">
        <v>1</v>
      </c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>
        <v>1</v>
      </c>
      <c r="S28" s="69"/>
      <c r="T28" s="70"/>
      <c r="U28" s="67"/>
      <c r="V28" s="71"/>
      <c r="W28" s="68"/>
      <c r="X28" s="72"/>
      <c r="Y28" s="73"/>
      <c r="Z28" s="65"/>
      <c r="AA28" s="66"/>
      <c r="AB28" s="67">
        <v>1</v>
      </c>
      <c r="AC28" s="68"/>
      <c r="AD28" s="69">
        <v>1</v>
      </c>
      <c r="AE28" s="70"/>
      <c r="AF28" s="67"/>
      <c r="AG28" s="71"/>
      <c r="AH28" s="68"/>
      <c r="AI28" s="72"/>
      <c r="AJ28" s="73"/>
      <c r="AK28" s="65"/>
      <c r="AL28" s="66"/>
      <c r="AM28" s="67"/>
      <c r="AN28" s="68">
        <v>1</v>
      </c>
      <c r="AO28" s="71">
        <v>1</v>
      </c>
      <c r="AP28" s="71"/>
      <c r="AQ28" s="71"/>
      <c r="AR28" s="71"/>
      <c r="AS28" s="68"/>
      <c r="AT28" s="72"/>
      <c r="AU28" s="73"/>
      <c r="AV28" s="65">
        <v>1</v>
      </c>
      <c r="AW28" s="66"/>
      <c r="AX28" s="67"/>
      <c r="AY28" s="68">
        <v>1</v>
      </c>
      <c r="AZ28" s="69">
        <v>1</v>
      </c>
      <c r="BA28" s="70"/>
      <c r="BB28" s="67"/>
      <c r="BC28" s="71"/>
      <c r="BD28" s="68"/>
      <c r="BE28" s="72"/>
      <c r="BF28" s="73"/>
      <c r="BG28" s="65">
        <v>1</v>
      </c>
      <c r="BH28" s="66">
        <v>1</v>
      </c>
      <c r="BI28" s="67"/>
      <c r="BJ28" s="68">
        <v>1</v>
      </c>
      <c r="BK28" s="69"/>
      <c r="BL28" s="70"/>
      <c r="BM28" s="67"/>
      <c r="BN28" s="71"/>
      <c r="BO28" s="68"/>
      <c r="BP28" s="72"/>
      <c r="BQ28" s="73"/>
      <c r="BR28" s="65"/>
      <c r="BS28" s="66">
        <v>1</v>
      </c>
      <c r="BT28" s="67"/>
      <c r="BU28" s="68">
        <v>1</v>
      </c>
      <c r="BV28" s="69">
        <v>1</v>
      </c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20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21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22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23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24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25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26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JOSE</v>
      </c>
      <c r="E33" s="31" t="str">
        <f t="shared" si="0"/>
        <v>ANAHY</v>
      </c>
      <c r="F33" s="32" t="str">
        <f t="shared" si="0"/>
        <v xml:space="preserve">JHOSELYN </v>
      </c>
      <c r="G33" s="33" t="str">
        <f t="shared" si="0"/>
        <v>LINDSAY</v>
      </c>
      <c r="H33" s="34" t="str">
        <f t="shared" si="0"/>
        <v>MILA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JOSE</v>
      </c>
      <c r="P33" s="31" t="str">
        <f t="shared" si="1"/>
        <v>ANAHY</v>
      </c>
      <c r="Q33" s="32" t="str">
        <f t="shared" si="1"/>
        <v xml:space="preserve">JHOSELYN </v>
      </c>
      <c r="R33" s="33" t="str">
        <f t="shared" si="1"/>
        <v>LINDSAY</v>
      </c>
      <c r="S33" s="34" t="str">
        <f t="shared" si="1"/>
        <v>MILA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JOSE</v>
      </c>
      <c r="AA33" s="31" t="str">
        <f t="shared" si="2"/>
        <v>ANAHY</v>
      </c>
      <c r="AB33" s="32" t="str">
        <f t="shared" si="2"/>
        <v xml:space="preserve">JHOSELYN </v>
      </c>
      <c r="AC33" s="33" t="str">
        <f t="shared" si="2"/>
        <v>LINDSAY</v>
      </c>
      <c r="AD33" s="34" t="str">
        <f t="shared" si="2"/>
        <v>MILA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JOSE</v>
      </c>
      <c r="AL33" s="31" t="str">
        <f t="shared" si="3"/>
        <v>ANAHY</v>
      </c>
      <c r="AM33" s="32" t="str">
        <f t="shared" si="3"/>
        <v xml:space="preserve">JHOSELYN </v>
      </c>
      <c r="AN33" s="33" t="str">
        <f t="shared" si="3"/>
        <v>LINDSAY</v>
      </c>
      <c r="AO33" s="34" t="str">
        <f t="shared" si="3"/>
        <v>MILA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JOSE</v>
      </c>
      <c r="AW33" s="31" t="str">
        <f t="shared" si="4"/>
        <v>ANAHY</v>
      </c>
      <c r="AX33" s="32" t="str">
        <f t="shared" si="4"/>
        <v xml:space="preserve">JHOSELYN </v>
      </c>
      <c r="AY33" s="33" t="str">
        <f t="shared" si="4"/>
        <v>LINDSAY</v>
      </c>
      <c r="AZ33" s="34" t="str">
        <f t="shared" si="4"/>
        <v>MILA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JOSE</v>
      </c>
      <c r="BH33" s="31" t="str">
        <f t="shared" si="5"/>
        <v>ANAHY</v>
      </c>
      <c r="BI33" s="32" t="str">
        <f t="shared" si="5"/>
        <v xml:space="preserve">JHOSELYN </v>
      </c>
      <c r="BJ33" s="33" t="str">
        <f t="shared" si="5"/>
        <v>LINDSAY</v>
      </c>
      <c r="BK33" s="34" t="str">
        <f t="shared" si="5"/>
        <v>MILA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JOSE</v>
      </c>
      <c r="BS33" s="31" t="str">
        <f t="shared" si="6"/>
        <v>ANAHY</v>
      </c>
      <c r="BT33" s="32" t="str">
        <f t="shared" si="6"/>
        <v xml:space="preserve">JHOSELYN </v>
      </c>
      <c r="BU33" s="33" t="str">
        <f t="shared" si="6"/>
        <v>LINDSAY</v>
      </c>
      <c r="BV33" s="34" t="str">
        <f t="shared" si="6"/>
        <v>MILA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5.5</v>
      </c>
      <c r="E34" s="48">
        <f t="shared" ref="E34:M34" si="7">SUM(E7:E30)</f>
        <v>6.5</v>
      </c>
      <c r="F34" s="49">
        <f t="shared" si="7"/>
        <v>1.5</v>
      </c>
      <c r="G34" s="50">
        <f t="shared" si="7"/>
        <v>1.5</v>
      </c>
      <c r="H34" s="51">
        <f t="shared" si="7"/>
        <v>11.5</v>
      </c>
      <c r="I34" s="52">
        <f t="shared" si="7"/>
        <v>0.5</v>
      </c>
      <c r="J34" s="49">
        <f t="shared" si="7"/>
        <v>0.5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1.5</v>
      </c>
      <c r="P34" s="48">
        <f t="shared" si="8"/>
        <v>6</v>
      </c>
      <c r="Q34" s="49">
        <f t="shared" si="8"/>
        <v>7</v>
      </c>
      <c r="R34" s="50">
        <f t="shared" si="8"/>
        <v>9.5</v>
      </c>
      <c r="S34" s="51">
        <f t="shared" si="8"/>
        <v>1.5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0</v>
      </c>
      <c r="AA34" s="48">
        <f t="shared" si="9"/>
        <v>0</v>
      </c>
      <c r="AB34" s="49">
        <f t="shared" si="9"/>
        <v>4</v>
      </c>
      <c r="AC34" s="50">
        <f t="shared" si="9"/>
        <v>9.5</v>
      </c>
      <c r="AD34" s="51">
        <f t="shared" si="9"/>
        <v>11.5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5</v>
      </c>
      <c r="AL34" s="48">
        <f t="shared" si="10"/>
        <v>0</v>
      </c>
      <c r="AM34" s="49">
        <f t="shared" si="10"/>
        <v>5</v>
      </c>
      <c r="AN34" s="50">
        <f t="shared" si="10"/>
        <v>9.5</v>
      </c>
      <c r="AO34" s="51">
        <f t="shared" si="10"/>
        <v>9.5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5.5</v>
      </c>
      <c r="AW34" s="48">
        <f t="shared" si="11"/>
        <v>6</v>
      </c>
      <c r="AX34" s="49">
        <f t="shared" si="11"/>
        <v>1.5</v>
      </c>
      <c r="AY34" s="50">
        <f t="shared" si="11"/>
        <v>9.5</v>
      </c>
      <c r="AZ34" s="51">
        <f t="shared" si="11"/>
        <v>7.5</v>
      </c>
      <c r="BA34" s="52">
        <f t="shared" si="11"/>
        <v>0.5</v>
      </c>
      <c r="BB34" s="49">
        <f t="shared" si="11"/>
        <v>0.5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6.5</v>
      </c>
      <c r="BH34" s="48">
        <f t="shared" si="12"/>
        <v>6.5</v>
      </c>
      <c r="BI34" s="49">
        <f t="shared" si="12"/>
        <v>6.5</v>
      </c>
      <c r="BJ34" s="50">
        <f t="shared" si="12"/>
        <v>9.5</v>
      </c>
      <c r="BK34" s="51">
        <f t="shared" si="12"/>
        <v>6.5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5.5</v>
      </c>
      <c r="BS34" s="48">
        <f t="shared" si="13"/>
        <v>4.5</v>
      </c>
      <c r="BT34" s="49">
        <f t="shared" si="13"/>
        <v>4</v>
      </c>
      <c r="BU34" s="50">
        <f t="shared" si="13"/>
        <v>8</v>
      </c>
      <c r="BV34" s="51">
        <f t="shared" si="13"/>
        <v>9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45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29.5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47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29.5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46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29.5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57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39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57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1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1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  <mergeCell ref="B41:J41"/>
    <mergeCell ref="L41:N41"/>
    <mergeCell ref="B42:J42"/>
    <mergeCell ref="L42:N42"/>
    <mergeCell ref="B43:J43"/>
    <mergeCell ref="L43:N43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</mergeCells>
  <conditionalFormatting sqref="D7:M14 D29:M30">
    <cfRule type="expression" dxfId="90" priority="14">
      <formula>IF(OR(D7=0,D7=""),TRUE(),FALSE())</formula>
    </cfRule>
  </conditionalFormatting>
  <conditionalFormatting sqref="D15:M28 BG17:BP28 BG16:BN16 BP16 BG15:BP15">
    <cfRule type="expression" dxfId="89" priority="13">
      <formula>IF(OR(D15=0,D15=""),TRUE(),FALSE())</formula>
    </cfRule>
  </conditionalFormatting>
  <conditionalFormatting sqref="O7:X14 O29:X30">
    <cfRule type="expression" dxfId="88" priority="12">
      <formula>IF(OR(O7=0,O7=""),TRUE(),FALSE())</formula>
    </cfRule>
  </conditionalFormatting>
  <conditionalFormatting sqref="O15:X28">
    <cfRule type="expression" dxfId="87" priority="11">
      <formula>IF(OR(O15=0,O15=""),TRUE(),FALSE())</formula>
    </cfRule>
  </conditionalFormatting>
  <conditionalFormatting sqref="Z7:AI14 Z29:AI30">
    <cfRule type="expression" dxfId="86" priority="10">
      <formula>IF(OR(Z7=0,Z7=""),TRUE(),FALSE())</formula>
    </cfRule>
  </conditionalFormatting>
  <conditionalFormatting sqref="Z15:AI28">
    <cfRule type="expression" dxfId="85" priority="9">
      <formula>IF(OR(Z15=0,Z15=""),TRUE(),FALSE())</formula>
    </cfRule>
  </conditionalFormatting>
  <conditionalFormatting sqref="AK7:AT14 AK29:AT30">
    <cfRule type="expression" dxfId="84" priority="8">
      <formula>IF(OR(AK7=0,AK7=""),TRUE(),FALSE())</formula>
    </cfRule>
  </conditionalFormatting>
  <conditionalFormatting sqref="AK15:AT28">
    <cfRule type="expression" dxfId="83" priority="7">
      <formula>IF(OR(AK15=0,AK15=""),TRUE(),FALSE())</formula>
    </cfRule>
  </conditionalFormatting>
  <conditionalFormatting sqref="AV7:BE14 AV29:BE30">
    <cfRule type="expression" dxfId="82" priority="6">
      <formula>IF(OR(AV7=0,AV7=""),TRUE(),FALSE())</formula>
    </cfRule>
  </conditionalFormatting>
  <conditionalFormatting sqref="AV15:BE28">
    <cfRule type="expression" dxfId="81" priority="5">
      <formula>IF(OR(AV15=0,AV15=""),TRUE(),FALSE())</formula>
    </cfRule>
  </conditionalFormatting>
  <conditionalFormatting sqref="BG7:BP14 BG29:BP30">
    <cfRule type="expression" dxfId="80" priority="4">
      <formula>IF(OR(BG7=0,BG7=""),TRUE(),FALSE())</formula>
    </cfRule>
  </conditionalFormatting>
  <conditionalFormatting sqref="BR7:CA14 BR29:CA30">
    <cfRule type="expression" dxfId="79" priority="2">
      <formula>IF(OR(BR7=0,BR7=""),TRUE(),FALSE())</formula>
    </cfRule>
  </conditionalFormatting>
  <conditionalFormatting sqref="BR15:CA28">
    <cfRule type="expression" dxfId="78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R7:CA30 BG7:BP15 BG17:BP30 BG16:BN16 BP16" xr:uid="{EA736DA3-BB9C-4B66-B255-51420D95774E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BC1C5-5C11-43AC-982C-CFD83FDDD0EE}">
  <sheetPr codeName="Hoja23"/>
  <dimension ref="A1:CA48"/>
  <sheetViews>
    <sheetView showGridLines="0" zoomScale="70" zoomScaleNormal="70" workbookViewId="0">
      <selection activeCell="BO24" sqref="BO24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27 DE JULIO AL 02 DE AGOSTO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46230</v>
      </c>
      <c r="D5" s="63" t="str">
        <f>CONCATENATE("Lunes ",TEXT(DAY(C5),"00"))</f>
        <v>Lunes 27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28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29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30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31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01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02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44</v>
      </c>
      <c r="E6" s="9" t="s">
        <v>33</v>
      </c>
      <c r="F6" s="10" t="s">
        <v>43</v>
      </c>
      <c r="G6" s="11" t="s">
        <v>21</v>
      </c>
      <c r="H6" s="12" t="s">
        <v>13</v>
      </c>
      <c r="I6" s="13"/>
      <c r="J6" s="10"/>
      <c r="K6" s="14"/>
      <c r="L6" s="11"/>
      <c r="M6" s="15"/>
      <c r="O6" s="8" t="str">
        <f>D6</f>
        <v>JOSE</v>
      </c>
      <c r="P6" s="9" t="str">
        <f>E6</f>
        <v>ANAHY</v>
      </c>
      <c r="Q6" s="10" t="str">
        <f>F6</f>
        <v xml:space="preserve">JHOSELYN </v>
      </c>
      <c r="R6" s="11" t="str">
        <f>G6</f>
        <v>LINDSAY</v>
      </c>
      <c r="S6" s="12" t="str">
        <f>H6</f>
        <v>MILA</v>
      </c>
      <c r="T6" s="13"/>
      <c r="U6" s="10"/>
      <c r="V6" s="14"/>
      <c r="W6" s="11"/>
      <c r="X6" s="15"/>
      <c r="Z6" s="8" t="str">
        <f>O6</f>
        <v>JOSE</v>
      </c>
      <c r="AA6" s="9" t="s">
        <v>33</v>
      </c>
      <c r="AB6" s="10" t="str">
        <f>Q6</f>
        <v xml:space="preserve">JHOSELYN </v>
      </c>
      <c r="AC6" s="11" t="str">
        <f>R6</f>
        <v>LINDSAY</v>
      </c>
      <c r="AD6" s="12" t="str">
        <f>H6</f>
        <v>MILA</v>
      </c>
      <c r="AE6" s="13"/>
      <c r="AF6" s="10"/>
      <c r="AG6" s="14"/>
      <c r="AH6" s="11"/>
      <c r="AI6" s="15"/>
      <c r="AK6" s="8" t="str">
        <f>Z6</f>
        <v>JOSE</v>
      </c>
      <c r="AL6" s="9" t="str">
        <f>AA6</f>
        <v>ANAHY</v>
      </c>
      <c r="AM6" s="10" t="str">
        <f>Q6</f>
        <v xml:space="preserve">JHOSELYN </v>
      </c>
      <c r="AN6" s="11" t="str">
        <f>AC6</f>
        <v>LINDSAY</v>
      </c>
      <c r="AO6" s="12" t="str">
        <f>H6</f>
        <v>MILA</v>
      </c>
      <c r="AP6" s="13"/>
      <c r="AQ6" s="10"/>
      <c r="AR6" s="14"/>
      <c r="AS6" s="11"/>
      <c r="AT6" s="15"/>
      <c r="AV6" s="8" t="str">
        <f>AK6</f>
        <v>JOSE</v>
      </c>
      <c r="AW6" s="9" t="s">
        <v>33</v>
      </c>
      <c r="AX6" s="10" t="str">
        <f>AB6</f>
        <v xml:space="preserve">JHOSELYN </v>
      </c>
      <c r="AY6" s="11" t="str">
        <f>AN6</f>
        <v>LINDSAY</v>
      </c>
      <c r="AZ6" s="12" t="str">
        <f>H6</f>
        <v>MILA</v>
      </c>
      <c r="BA6" s="13"/>
      <c r="BB6" s="10"/>
      <c r="BC6" s="14"/>
      <c r="BD6" s="11"/>
      <c r="BE6" s="15"/>
      <c r="BG6" s="8" t="str">
        <f>AV6</f>
        <v>JOSE</v>
      </c>
      <c r="BH6" s="9" t="s">
        <v>33</v>
      </c>
      <c r="BI6" s="10" t="str">
        <f>AX6</f>
        <v xml:space="preserve">JHOSELYN </v>
      </c>
      <c r="BJ6" s="11"/>
      <c r="BK6" s="12"/>
      <c r="BL6" s="13"/>
      <c r="BM6" s="10"/>
      <c r="BN6" s="14"/>
      <c r="BO6" s="11"/>
      <c r="BP6" s="15"/>
      <c r="BR6" s="8" t="str">
        <f>AV6</f>
        <v>JOSE</v>
      </c>
      <c r="BS6" s="9" t="str">
        <f>BH6</f>
        <v>ANAHY</v>
      </c>
      <c r="BT6" s="10" t="str">
        <f>AX6</f>
        <v xml:space="preserve">JHOSELYN </v>
      </c>
      <c r="BU6" s="11"/>
      <c r="BV6" s="12">
        <f>BK6</f>
        <v>0</v>
      </c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>
        <v>0.5</v>
      </c>
      <c r="BB14" s="18">
        <v>0.5</v>
      </c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/>
      <c r="H15" s="69"/>
      <c r="I15" s="70"/>
      <c r="J15" s="67"/>
      <c r="K15" s="71"/>
      <c r="L15" s="68"/>
      <c r="M15" s="72"/>
      <c r="N15" s="73"/>
      <c r="O15" s="65">
        <v>0</v>
      </c>
      <c r="P15" s="66"/>
      <c r="Q15" s="67"/>
      <c r="R15" s="68"/>
      <c r="S15" s="69"/>
      <c r="T15" s="70"/>
      <c r="U15" s="67"/>
      <c r="V15" s="71"/>
      <c r="W15" s="68"/>
      <c r="X15" s="72"/>
      <c r="Y15" s="73"/>
      <c r="Z15" s="65"/>
      <c r="AA15" s="66"/>
      <c r="AB15" s="67"/>
      <c r="AC15" s="68"/>
      <c r="AD15" s="69"/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/>
      <c r="BI15" s="67"/>
      <c r="BJ15" s="68"/>
      <c r="BK15" s="68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/>
      <c r="F16" s="67"/>
      <c r="G16" s="68"/>
      <c r="H16" s="69"/>
      <c r="I16" s="70"/>
      <c r="J16" s="67"/>
      <c r="K16" s="71"/>
      <c r="L16" s="68"/>
      <c r="M16" s="72"/>
      <c r="N16" s="73"/>
      <c r="O16" s="65"/>
      <c r="P16" s="66"/>
      <c r="Q16" s="67"/>
      <c r="R16" s="68"/>
      <c r="S16" s="69"/>
      <c r="T16" s="70"/>
      <c r="U16" s="67"/>
      <c r="V16" s="71"/>
      <c r="W16" s="68"/>
      <c r="X16" s="72"/>
      <c r="Y16" s="73"/>
      <c r="Z16" s="65"/>
      <c r="AA16" s="66"/>
      <c r="AB16" s="67"/>
      <c r="AC16" s="68"/>
      <c r="AD16" s="69"/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9"/>
      <c r="BI16" s="67"/>
      <c r="BJ16" s="68"/>
      <c r="BK16" s="69"/>
      <c r="BL16" s="70"/>
      <c r="BM16" s="67"/>
      <c r="BN16" s="71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>
        <v>1</v>
      </c>
      <c r="F17" s="67"/>
      <c r="G17" s="68"/>
      <c r="H17" s="69"/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/>
      <c r="S17" s="69"/>
      <c r="T17" s="70"/>
      <c r="U17" s="67"/>
      <c r="V17" s="71"/>
      <c r="W17" s="68"/>
      <c r="X17" s="72"/>
      <c r="Y17" s="73"/>
      <c r="Z17" s="65"/>
      <c r="AA17" s="66"/>
      <c r="AB17" s="67"/>
      <c r="AC17" s="68">
        <v>1</v>
      </c>
      <c r="AD17" s="69"/>
      <c r="AE17" s="70"/>
      <c r="AF17" s="67"/>
      <c r="AG17" s="71"/>
      <c r="AH17" s="68"/>
      <c r="AI17" s="72"/>
      <c r="AJ17" s="73"/>
      <c r="AK17" s="65"/>
      <c r="AL17" s="66"/>
      <c r="AM17" s="67">
        <v>1</v>
      </c>
      <c r="AN17" s="68"/>
      <c r="AO17" s="69">
        <v>1</v>
      </c>
      <c r="AP17" s="70"/>
      <c r="AQ17" s="67"/>
      <c r="AR17" s="71"/>
      <c r="AS17" s="68"/>
      <c r="AT17" s="72"/>
      <c r="AU17" s="73"/>
      <c r="AV17" s="65"/>
      <c r="AW17" s="66">
        <v>1</v>
      </c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/>
      <c r="BI17" s="67">
        <v>1</v>
      </c>
      <c r="BJ17" s="68"/>
      <c r="BK17" s="69"/>
      <c r="BL17" s="70"/>
      <c r="BM17" s="67"/>
      <c r="BN17" s="71"/>
      <c r="BO17" s="68"/>
      <c r="BP17" s="72"/>
      <c r="BQ17" s="73"/>
      <c r="BR17" s="65"/>
      <c r="BS17" s="66"/>
      <c r="BT17" s="67">
        <v>1</v>
      </c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>
        <v>1</v>
      </c>
      <c r="F18" s="67"/>
      <c r="G18" s="68"/>
      <c r="H18" s="69"/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/>
      <c r="S18" s="69"/>
      <c r="T18" s="70"/>
      <c r="U18" s="67"/>
      <c r="V18" s="71"/>
      <c r="W18" s="68"/>
      <c r="X18" s="72"/>
      <c r="Y18" s="73"/>
      <c r="Z18" s="65"/>
      <c r="AA18" s="66"/>
      <c r="AB18" s="67"/>
      <c r="AC18" s="68">
        <v>1</v>
      </c>
      <c r="AD18" s="69"/>
      <c r="AE18" s="70"/>
      <c r="AF18" s="67"/>
      <c r="AG18" s="71"/>
      <c r="AH18" s="68"/>
      <c r="AI18" s="72"/>
      <c r="AJ18" s="73"/>
      <c r="AK18" s="65"/>
      <c r="AL18" s="66"/>
      <c r="AM18" s="67">
        <v>1</v>
      </c>
      <c r="AN18" s="68"/>
      <c r="AO18" s="69">
        <v>1</v>
      </c>
      <c r="AP18" s="70"/>
      <c r="AQ18" s="67"/>
      <c r="AR18" s="71"/>
      <c r="AS18" s="68"/>
      <c r="AT18" s="72"/>
      <c r="AU18" s="73"/>
      <c r="AV18" s="65"/>
      <c r="AW18" s="66">
        <v>1</v>
      </c>
      <c r="AX18" s="67"/>
      <c r="AY18" s="68"/>
      <c r="AZ18" s="69"/>
      <c r="BA18" s="70"/>
      <c r="BB18" s="67"/>
      <c r="BC18" s="71"/>
      <c r="BD18" s="68"/>
      <c r="BE18" s="72"/>
      <c r="BF18" s="73"/>
      <c r="BG18" s="65">
        <v>0.5</v>
      </c>
      <c r="BH18" s="66"/>
      <c r="BI18" s="67">
        <v>1</v>
      </c>
      <c r="BJ18" s="68"/>
      <c r="BK18" s="69"/>
      <c r="BL18" s="70"/>
      <c r="BM18" s="67"/>
      <c r="BN18" s="71"/>
      <c r="BO18" s="68"/>
      <c r="BP18" s="72"/>
      <c r="BQ18" s="73"/>
      <c r="BR18" s="65"/>
      <c r="BS18" s="66"/>
      <c r="BT18" s="67">
        <v>1</v>
      </c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>
        <v>1</v>
      </c>
      <c r="F19" s="67"/>
      <c r="G19" s="68"/>
      <c r="H19" s="69"/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/>
      <c r="S19" s="69"/>
      <c r="T19" s="70"/>
      <c r="U19" s="67"/>
      <c r="V19" s="71"/>
      <c r="W19" s="68"/>
      <c r="X19" s="72"/>
      <c r="Y19" s="73"/>
      <c r="Z19" s="65"/>
      <c r="AA19" s="66"/>
      <c r="AB19" s="67"/>
      <c r="AC19" s="68">
        <v>1</v>
      </c>
      <c r="AD19" s="69"/>
      <c r="AE19" s="70"/>
      <c r="AF19" s="67"/>
      <c r="AG19" s="71"/>
      <c r="AH19" s="68"/>
      <c r="AI19" s="72"/>
      <c r="AJ19" s="73"/>
      <c r="AK19" s="65"/>
      <c r="AL19" s="66"/>
      <c r="AM19" s="67">
        <v>1</v>
      </c>
      <c r="AN19" s="68"/>
      <c r="AO19" s="69">
        <v>1</v>
      </c>
      <c r="AP19" s="70"/>
      <c r="AQ19" s="67"/>
      <c r="AR19" s="71"/>
      <c r="AS19" s="68"/>
      <c r="AT19" s="72"/>
      <c r="AU19" s="73"/>
      <c r="AV19" s="65"/>
      <c r="AW19" s="66">
        <v>1</v>
      </c>
      <c r="AX19" s="67"/>
      <c r="AY19" s="68"/>
      <c r="AZ19" s="69"/>
      <c r="BA19" s="70"/>
      <c r="BB19" s="67"/>
      <c r="BC19" s="71"/>
      <c r="BD19" s="68"/>
      <c r="BE19" s="72"/>
      <c r="BF19" s="73"/>
      <c r="BG19" s="65">
        <v>1</v>
      </c>
      <c r="BH19" s="66"/>
      <c r="BI19" s="67">
        <v>1</v>
      </c>
      <c r="BJ19" s="68"/>
      <c r="BK19" s="69"/>
      <c r="BL19" s="70"/>
      <c r="BM19" s="67"/>
      <c r="BN19" s="71"/>
      <c r="BO19" s="68"/>
      <c r="BP19" s="72"/>
      <c r="BQ19" s="73"/>
      <c r="BR19" s="65">
        <v>1</v>
      </c>
      <c r="BS19" s="66"/>
      <c r="BT19" s="67">
        <v>1</v>
      </c>
      <c r="BU19" s="68"/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>
        <v>1</v>
      </c>
      <c r="F20" s="67"/>
      <c r="G20" s="68"/>
      <c r="H20" s="69">
        <v>1</v>
      </c>
      <c r="I20" s="70"/>
      <c r="J20" s="67"/>
      <c r="K20" s="71"/>
      <c r="L20" s="68"/>
      <c r="M20" s="72"/>
      <c r="N20" s="74"/>
      <c r="O20" s="65"/>
      <c r="P20" s="66">
        <v>1</v>
      </c>
      <c r="Q20" s="67"/>
      <c r="R20" s="68">
        <v>1</v>
      </c>
      <c r="S20" s="69"/>
      <c r="T20" s="70"/>
      <c r="U20" s="67"/>
      <c r="V20" s="71"/>
      <c r="W20" s="68"/>
      <c r="X20" s="72"/>
      <c r="Y20" s="74"/>
      <c r="Z20" s="65"/>
      <c r="AA20" s="66"/>
      <c r="AB20" s="67"/>
      <c r="AC20" s="68"/>
      <c r="AD20" s="69">
        <v>1</v>
      </c>
      <c r="AE20" s="70"/>
      <c r="AF20" s="67"/>
      <c r="AG20" s="71"/>
      <c r="AH20" s="68"/>
      <c r="AI20" s="72"/>
      <c r="AJ20" s="74"/>
      <c r="AK20" s="65"/>
      <c r="AL20" s="66"/>
      <c r="AM20" s="67">
        <v>1</v>
      </c>
      <c r="AN20" s="68">
        <v>1</v>
      </c>
      <c r="AO20" s="69"/>
      <c r="AP20" s="70"/>
      <c r="AQ20" s="67"/>
      <c r="AR20" s="71"/>
      <c r="AS20" s="68"/>
      <c r="AT20" s="72"/>
      <c r="AU20" s="74"/>
      <c r="AV20" s="65"/>
      <c r="AW20" s="66">
        <v>1</v>
      </c>
      <c r="AX20" s="67"/>
      <c r="AY20" s="68">
        <v>1</v>
      </c>
      <c r="AZ20" s="69">
        <v>1</v>
      </c>
      <c r="BA20" s="70"/>
      <c r="BB20" s="67"/>
      <c r="BC20" s="71"/>
      <c r="BD20" s="68"/>
      <c r="BE20" s="72"/>
      <c r="BF20" s="74"/>
      <c r="BG20" s="65">
        <v>1</v>
      </c>
      <c r="BH20" s="66"/>
      <c r="BI20" s="67"/>
      <c r="BJ20" s="68"/>
      <c r="BK20" s="69"/>
      <c r="BL20" s="70"/>
      <c r="BM20" s="67"/>
      <c r="BN20" s="71"/>
      <c r="BO20" s="68"/>
      <c r="BP20" s="72"/>
      <c r="BQ20" s="74"/>
      <c r="BR20" s="65">
        <v>1</v>
      </c>
      <c r="BS20" s="66"/>
      <c r="BT20" s="67">
        <v>1</v>
      </c>
      <c r="BU20" s="68"/>
      <c r="BV20" s="69"/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>
        <v>1</v>
      </c>
      <c r="F21" s="67"/>
      <c r="G21" s="68"/>
      <c r="H21" s="69"/>
      <c r="I21" s="70"/>
      <c r="J21" s="67"/>
      <c r="K21" s="71"/>
      <c r="L21" s="68"/>
      <c r="M21" s="72"/>
      <c r="N21" s="73"/>
      <c r="O21" s="65"/>
      <c r="P21" s="66">
        <v>0.5</v>
      </c>
      <c r="Q21" s="67"/>
      <c r="R21" s="68"/>
      <c r="S21" s="69"/>
      <c r="T21" s="70"/>
      <c r="U21" s="67"/>
      <c r="V21" s="71"/>
      <c r="W21" s="68"/>
      <c r="X21" s="72"/>
      <c r="Y21" s="73"/>
      <c r="Z21" s="65"/>
      <c r="AA21" s="66"/>
      <c r="AB21" s="67"/>
      <c r="AC21" s="68">
        <v>1</v>
      </c>
      <c r="AD21" s="69"/>
      <c r="AE21" s="70"/>
      <c r="AF21" s="67"/>
      <c r="AG21" s="71"/>
      <c r="AH21" s="68"/>
      <c r="AI21" s="72"/>
      <c r="AJ21" s="73"/>
      <c r="AK21" s="65"/>
      <c r="AL21" s="66"/>
      <c r="AM21" s="67">
        <v>0.5</v>
      </c>
      <c r="AN21" s="68"/>
      <c r="AO21" s="69">
        <v>1</v>
      </c>
      <c r="AP21" s="70"/>
      <c r="AQ21" s="67"/>
      <c r="AR21" s="71"/>
      <c r="AS21" s="68"/>
      <c r="AT21" s="72"/>
      <c r="AU21" s="73"/>
      <c r="AV21" s="65"/>
      <c r="AW21" s="66"/>
      <c r="AX21" s="67"/>
      <c r="AY21" s="68">
        <v>1</v>
      </c>
      <c r="AZ21" s="69"/>
      <c r="BA21" s="70"/>
      <c r="BB21" s="67"/>
      <c r="BC21" s="71"/>
      <c r="BD21" s="68"/>
      <c r="BE21" s="72"/>
      <c r="BF21" s="73"/>
      <c r="BG21" s="65"/>
      <c r="BH21" s="66"/>
      <c r="BI21" s="67">
        <v>1</v>
      </c>
      <c r="BJ21" s="68"/>
      <c r="BK21" s="69"/>
      <c r="BL21" s="70"/>
      <c r="BM21" s="67"/>
      <c r="BN21" s="71"/>
      <c r="BO21" s="68"/>
      <c r="BP21" s="72"/>
      <c r="BQ21" s="73"/>
      <c r="BR21" s="65">
        <v>1</v>
      </c>
      <c r="BS21" s="66"/>
      <c r="BT21" s="67"/>
      <c r="BU21" s="68"/>
      <c r="BV21" s="69"/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/>
      <c r="G22" s="68"/>
      <c r="H22" s="69">
        <v>1</v>
      </c>
      <c r="I22" s="70"/>
      <c r="J22" s="67"/>
      <c r="K22" s="71"/>
      <c r="L22" s="68"/>
      <c r="M22" s="72"/>
      <c r="N22" s="73"/>
      <c r="O22" s="65"/>
      <c r="P22" s="66"/>
      <c r="Q22" s="67"/>
      <c r="R22" s="68">
        <v>1</v>
      </c>
      <c r="S22" s="69"/>
      <c r="T22" s="70"/>
      <c r="U22" s="67"/>
      <c r="V22" s="71"/>
      <c r="W22" s="68"/>
      <c r="X22" s="72"/>
      <c r="Y22" s="73"/>
      <c r="Z22" s="65"/>
      <c r="AA22" s="66"/>
      <c r="AB22" s="67"/>
      <c r="AC22" s="68">
        <v>1</v>
      </c>
      <c r="AD22" s="69">
        <v>1</v>
      </c>
      <c r="AE22" s="70"/>
      <c r="AF22" s="67"/>
      <c r="AG22" s="71"/>
      <c r="AH22" s="68"/>
      <c r="AI22" s="72"/>
      <c r="AJ22" s="73"/>
      <c r="AK22" s="65"/>
      <c r="AL22" s="66"/>
      <c r="AM22" s="67"/>
      <c r="AN22" s="68">
        <v>1</v>
      </c>
      <c r="AO22" s="69">
        <v>1</v>
      </c>
      <c r="AP22" s="70"/>
      <c r="AQ22" s="67"/>
      <c r="AR22" s="71"/>
      <c r="AS22" s="68"/>
      <c r="AT22" s="72"/>
      <c r="AU22" s="73"/>
      <c r="AV22" s="65"/>
      <c r="AW22" s="66"/>
      <c r="AX22" s="67"/>
      <c r="AY22" s="68"/>
      <c r="AZ22" s="69">
        <v>1</v>
      </c>
      <c r="BA22" s="70"/>
      <c r="BB22" s="67"/>
      <c r="BC22" s="71"/>
      <c r="BD22" s="68"/>
      <c r="BE22" s="72"/>
      <c r="BF22" s="73"/>
      <c r="BG22" s="65">
        <v>1</v>
      </c>
      <c r="BH22" s="66"/>
      <c r="BI22" s="67">
        <v>1</v>
      </c>
      <c r="BJ22" s="68"/>
      <c r="BK22" s="69"/>
      <c r="BL22" s="70"/>
      <c r="BM22" s="67"/>
      <c r="BN22" s="71"/>
      <c r="BO22" s="68"/>
      <c r="BP22" s="72"/>
      <c r="BQ22" s="73"/>
      <c r="BR22" s="65">
        <v>1</v>
      </c>
      <c r="BS22" s="66"/>
      <c r="BT22" s="67">
        <v>1</v>
      </c>
      <c r="BU22" s="68"/>
      <c r="BV22" s="69"/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/>
      <c r="E23" s="66"/>
      <c r="F23" s="67"/>
      <c r="G23" s="68"/>
      <c r="H23" s="69">
        <v>1</v>
      </c>
      <c r="I23" s="70"/>
      <c r="J23" s="67"/>
      <c r="K23" s="71"/>
      <c r="L23" s="68"/>
      <c r="M23" s="72"/>
      <c r="N23" s="73"/>
      <c r="O23" s="65"/>
      <c r="P23" s="66"/>
      <c r="Q23" s="67"/>
      <c r="R23" s="68">
        <v>1</v>
      </c>
      <c r="S23" s="69"/>
      <c r="T23" s="70"/>
      <c r="U23" s="67"/>
      <c r="V23" s="71"/>
      <c r="W23" s="68"/>
      <c r="X23" s="72"/>
      <c r="Y23" s="73"/>
      <c r="Z23" s="65"/>
      <c r="AA23" s="66"/>
      <c r="AB23" s="67"/>
      <c r="AC23" s="68">
        <v>1</v>
      </c>
      <c r="AD23" s="69">
        <v>1</v>
      </c>
      <c r="AE23" s="70"/>
      <c r="AF23" s="67"/>
      <c r="AG23" s="71"/>
      <c r="AH23" s="68"/>
      <c r="AI23" s="72"/>
      <c r="AJ23" s="73"/>
      <c r="AK23" s="65"/>
      <c r="AL23" s="66"/>
      <c r="AM23" s="67"/>
      <c r="AN23" s="68">
        <v>1</v>
      </c>
      <c r="AO23" s="69">
        <v>1</v>
      </c>
      <c r="AP23" s="70"/>
      <c r="AQ23" s="67"/>
      <c r="AR23" s="71"/>
      <c r="AS23" s="68"/>
      <c r="AT23" s="72"/>
      <c r="AU23" s="73"/>
      <c r="AV23" s="65"/>
      <c r="AW23" s="66"/>
      <c r="AX23" s="67"/>
      <c r="AY23" s="68">
        <v>1</v>
      </c>
      <c r="AZ23" s="69">
        <v>1</v>
      </c>
      <c r="BA23" s="70"/>
      <c r="BB23" s="67"/>
      <c r="BC23" s="71"/>
      <c r="BD23" s="68"/>
      <c r="BE23" s="72"/>
      <c r="BF23" s="73"/>
      <c r="BG23" s="65">
        <v>1</v>
      </c>
      <c r="BH23" s="66">
        <v>1</v>
      </c>
      <c r="BI23" s="67">
        <v>1</v>
      </c>
      <c r="BJ23" s="68"/>
      <c r="BK23" s="69"/>
      <c r="BL23" s="70"/>
      <c r="BM23" s="67"/>
      <c r="BN23" s="71"/>
      <c r="BO23" s="68"/>
      <c r="BP23" s="72"/>
      <c r="BQ23" s="73"/>
      <c r="BR23" s="65"/>
      <c r="BS23" s="66">
        <v>1</v>
      </c>
      <c r="BT23" s="67">
        <v>1</v>
      </c>
      <c r="BU23" s="68"/>
      <c r="BV23" s="69"/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/>
      <c r="E24" s="66"/>
      <c r="F24" s="67"/>
      <c r="G24" s="68"/>
      <c r="H24" s="69">
        <v>1</v>
      </c>
      <c r="I24" s="70"/>
      <c r="J24" s="67"/>
      <c r="K24" s="71"/>
      <c r="L24" s="68"/>
      <c r="M24" s="72"/>
      <c r="N24" s="73"/>
      <c r="O24" s="65"/>
      <c r="P24" s="66"/>
      <c r="Q24" s="67">
        <v>0.5</v>
      </c>
      <c r="R24" s="68">
        <v>1</v>
      </c>
      <c r="S24" s="69"/>
      <c r="T24" s="70"/>
      <c r="U24" s="67"/>
      <c r="V24" s="71"/>
      <c r="W24" s="68"/>
      <c r="X24" s="72"/>
      <c r="Y24" s="73"/>
      <c r="Z24" s="65"/>
      <c r="AA24" s="66"/>
      <c r="AB24" s="67"/>
      <c r="AC24" s="68">
        <v>1</v>
      </c>
      <c r="AD24" s="69">
        <v>1</v>
      </c>
      <c r="AE24" s="70"/>
      <c r="AF24" s="67"/>
      <c r="AG24" s="71"/>
      <c r="AH24" s="68"/>
      <c r="AI24" s="72"/>
      <c r="AJ24" s="73"/>
      <c r="AK24" s="65"/>
      <c r="AL24" s="66"/>
      <c r="AM24" s="67"/>
      <c r="AN24" s="68">
        <v>1</v>
      </c>
      <c r="AO24" s="69">
        <v>1</v>
      </c>
      <c r="AP24" s="70"/>
      <c r="AQ24" s="67"/>
      <c r="AR24" s="71"/>
      <c r="AS24" s="68"/>
      <c r="AT24" s="72"/>
      <c r="AU24" s="73"/>
      <c r="AV24" s="65">
        <v>0.5</v>
      </c>
      <c r="AW24" s="66"/>
      <c r="AX24" s="67"/>
      <c r="AY24" s="68">
        <v>1</v>
      </c>
      <c r="AZ24" s="69">
        <v>1</v>
      </c>
      <c r="BA24" s="70"/>
      <c r="BB24" s="67"/>
      <c r="BC24" s="71"/>
      <c r="BD24" s="68"/>
      <c r="BE24" s="72"/>
      <c r="BF24" s="73"/>
      <c r="BG24" s="65">
        <v>1</v>
      </c>
      <c r="BH24" s="66"/>
      <c r="BI24" s="67">
        <v>1</v>
      </c>
      <c r="BJ24" s="68"/>
      <c r="BK24" s="69"/>
      <c r="BL24" s="70"/>
      <c r="BM24" s="67"/>
      <c r="BN24" s="71"/>
      <c r="BO24" s="68"/>
      <c r="BP24" s="72"/>
      <c r="BQ24" s="73"/>
      <c r="BR24" s="65">
        <v>1</v>
      </c>
      <c r="BS24" s="66"/>
      <c r="BT24" s="67">
        <v>1</v>
      </c>
      <c r="BU24" s="68"/>
      <c r="BV24" s="69"/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>
        <v>1</v>
      </c>
      <c r="E25" s="66"/>
      <c r="F25" s="67"/>
      <c r="G25" s="68"/>
      <c r="H25" s="69">
        <v>1</v>
      </c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>
        <v>1</v>
      </c>
      <c r="S25" s="69"/>
      <c r="T25" s="70"/>
      <c r="U25" s="67"/>
      <c r="V25" s="71"/>
      <c r="W25" s="68"/>
      <c r="X25" s="72"/>
      <c r="Y25" s="73"/>
      <c r="Z25" s="65"/>
      <c r="AA25" s="66"/>
      <c r="AB25" s="67">
        <v>1</v>
      </c>
      <c r="AC25" s="68">
        <v>1</v>
      </c>
      <c r="AD25" s="69">
        <v>1</v>
      </c>
      <c r="AE25" s="70"/>
      <c r="AF25" s="67"/>
      <c r="AG25" s="71"/>
      <c r="AH25" s="68"/>
      <c r="AI25" s="72"/>
      <c r="AJ25" s="73"/>
      <c r="AK25" s="65">
        <v>1</v>
      </c>
      <c r="AL25" s="66"/>
      <c r="AM25" s="67"/>
      <c r="AN25" s="68">
        <v>1</v>
      </c>
      <c r="AO25" s="69">
        <v>1</v>
      </c>
      <c r="AP25" s="70"/>
      <c r="AQ25" s="67"/>
      <c r="AR25" s="71"/>
      <c r="AS25" s="68"/>
      <c r="AT25" s="72"/>
      <c r="AU25" s="73"/>
      <c r="AV25" s="65">
        <v>1</v>
      </c>
      <c r="AW25" s="66"/>
      <c r="AX25" s="67"/>
      <c r="AY25" s="68">
        <v>1</v>
      </c>
      <c r="AZ25" s="69">
        <v>1</v>
      </c>
      <c r="BA25" s="70"/>
      <c r="BB25" s="67"/>
      <c r="BC25" s="71"/>
      <c r="BD25" s="68"/>
      <c r="BE25" s="72"/>
      <c r="BF25" s="73"/>
      <c r="BG25" s="65">
        <v>1</v>
      </c>
      <c r="BH25" s="66">
        <v>1</v>
      </c>
      <c r="BI25" s="67">
        <v>1</v>
      </c>
      <c r="BJ25" s="68"/>
      <c r="BK25" s="69"/>
      <c r="BL25" s="70"/>
      <c r="BM25" s="67"/>
      <c r="BN25" s="71"/>
      <c r="BO25" s="68"/>
      <c r="BP25" s="72"/>
      <c r="BQ25" s="73"/>
      <c r="BR25" s="65">
        <v>1</v>
      </c>
      <c r="BS25" s="66">
        <v>1</v>
      </c>
      <c r="BT25" s="67">
        <v>1</v>
      </c>
      <c r="BU25" s="68"/>
      <c r="BV25" s="69"/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>
        <v>1</v>
      </c>
      <c r="E26" s="66"/>
      <c r="F26" s="67"/>
      <c r="G26" s="68"/>
      <c r="H26" s="69">
        <v>1</v>
      </c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>
        <v>1</v>
      </c>
      <c r="S26" s="69"/>
      <c r="T26" s="70"/>
      <c r="U26" s="67"/>
      <c r="V26" s="71"/>
      <c r="W26" s="68"/>
      <c r="X26" s="72"/>
      <c r="Y26" s="73"/>
      <c r="Z26" s="65"/>
      <c r="AA26" s="66"/>
      <c r="AB26" s="67">
        <v>1</v>
      </c>
      <c r="AC26" s="68"/>
      <c r="AD26" s="69">
        <v>1</v>
      </c>
      <c r="AE26" s="70"/>
      <c r="AF26" s="67"/>
      <c r="AG26" s="71"/>
      <c r="AH26" s="68"/>
      <c r="AI26" s="72"/>
      <c r="AJ26" s="73"/>
      <c r="AK26" s="65">
        <v>1</v>
      </c>
      <c r="AL26" s="66"/>
      <c r="AM26" s="67"/>
      <c r="AN26" s="68">
        <v>1</v>
      </c>
      <c r="AO26" s="69"/>
      <c r="AP26" s="70"/>
      <c r="AQ26" s="67"/>
      <c r="AR26" s="71"/>
      <c r="AS26" s="68"/>
      <c r="AT26" s="72"/>
      <c r="AU26" s="73"/>
      <c r="AV26" s="65">
        <v>1</v>
      </c>
      <c r="AW26" s="66"/>
      <c r="AX26" s="67"/>
      <c r="AY26" s="68">
        <v>1</v>
      </c>
      <c r="AZ26" s="69">
        <v>1</v>
      </c>
      <c r="BA26" s="70"/>
      <c r="BB26" s="67"/>
      <c r="BC26" s="71"/>
      <c r="BD26" s="68"/>
      <c r="BE26" s="72"/>
      <c r="BF26" s="73"/>
      <c r="BG26" s="65">
        <v>1</v>
      </c>
      <c r="BH26" s="66">
        <v>1</v>
      </c>
      <c r="BI26" s="67"/>
      <c r="BJ26" s="68"/>
      <c r="BK26" s="69"/>
      <c r="BL26" s="70"/>
      <c r="BM26" s="67"/>
      <c r="BN26" s="71"/>
      <c r="BO26" s="68"/>
      <c r="BP26" s="72"/>
      <c r="BQ26" s="73"/>
      <c r="BR26" s="65">
        <v>1</v>
      </c>
      <c r="BS26" s="66">
        <v>1</v>
      </c>
      <c r="BT26" s="67"/>
      <c r="BU26" s="68"/>
      <c r="BV26" s="69"/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>
        <v>1</v>
      </c>
      <c r="E27" s="66"/>
      <c r="F27" s="67"/>
      <c r="G27" s="68"/>
      <c r="H27" s="69">
        <v>1</v>
      </c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>
        <v>1</v>
      </c>
      <c r="S27" s="69"/>
      <c r="T27" s="70"/>
      <c r="U27" s="67"/>
      <c r="V27" s="71"/>
      <c r="W27" s="68"/>
      <c r="X27" s="72"/>
      <c r="Y27" s="73"/>
      <c r="Z27" s="65"/>
      <c r="AA27" s="66"/>
      <c r="AB27" s="67">
        <v>1</v>
      </c>
      <c r="AC27" s="68"/>
      <c r="AD27" s="69">
        <v>1</v>
      </c>
      <c r="AE27" s="70"/>
      <c r="AF27" s="67"/>
      <c r="AG27" s="71"/>
      <c r="AH27" s="68"/>
      <c r="AI27" s="72"/>
      <c r="AJ27" s="73"/>
      <c r="AK27" s="65">
        <v>1</v>
      </c>
      <c r="AL27" s="66"/>
      <c r="AM27" s="67"/>
      <c r="AN27" s="68">
        <v>1</v>
      </c>
      <c r="AO27" s="69"/>
      <c r="AP27" s="70"/>
      <c r="AQ27" s="67"/>
      <c r="AR27" s="71"/>
      <c r="AS27" s="68"/>
      <c r="AT27" s="72"/>
      <c r="AU27" s="73"/>
      <c r="AV27" s="65">
        <v>1</v>
      </c>
      <c r="AW27" s="66"/>
      <c r="AX27" s="67"/>
      <c r="AY27" s="68">
        <v>1</v>
      </c>
      <c r="AZ27" s="69">
        <v>1</v>
      </c>
      <c r="BA27" s="70"/>
      <c r="BB27" s="67"/>
      <c r="BC27" s="71"/>
      <c r="BD27" s="68"/>
      <c r="BE27" s="72"/>
      <c r="BF27" s="73"/>
      <c r="BG27" s="65">
        <v>1</v>
      </c>
      <c r="BH27" s="66">
        <v>1</v>
      </c>
      <c r="BI27" s="67"/>
      <c r="BJ27" s="68"/>
      <c r="BK27" s="69"/>
      <c r="BL27" s="70"/>
      <c r="BM27" s="67"/>
      <c r="BN27" s="71"/>
      <c r="BO27" s="68"/>
      <c r="BP27" s="72"/>
      <c r="BQ27" s="73"/>
      <c r="BR27" s="65">
        <v>1</v>
      </c>
      <c r="BS27" s="66">
        <v>1</v>
      </c>
      <c r="BT27" s="67"/>
      <c r="BU27" s="68"/>
      <c r="BV27" s="69"/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>
        <v>1</v>
      </c>
      <c r="E28" s="66"/>
      <c r="F28" s="67"/>
      <c r="G28" s="68"/>
      <c r="H28" s="69">
        <v>1</v>
      </c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>
        <v>1</v>
      </c>
      <c r="S28" s="69"/>
      <c r="T28" s="70"/>
      <c r="U28" s="67"/>
      <c r="V28" s="71"/>
      <c r="W28" s="68"/>
      <c r="X28" s="72"/>
      <c r="Y28" s="73"/>
      <c r="Z28" s="65"/>
      <c r="AA28" s="66"/>
      <c r="AB28" s="67">
        <v>1</v>
      </c>
      <c r="AC28" s="68"/>
      <c r="AD28" s="69">
        <v>1</v>
      </c>
      <c r="AE28" s="70"/>
      <c r="AF28" s="67"/>
      <c r="AG28" s="71"/>
      <c r="AH28" s="68"/>
      <c r="AI28" s="72"/>
      <c r="AJ28" s="73"/>
      <c r="AK28" s="65">
        <v>1</v>
      </c>
      <c r="AL28" s="66"/>
      <c r="AM28" s="67"/>
      <c r="AN28" s="68">
        <v>1</v>
      </c>
      <c r="AO28" s="71"/>
      <c r="AP28" s="71"/>
      <c r="AQ28" s="71"/>
      <c r="AR28" s="71"/>
      <c r="AS28" s="68"/>
      <c r="AT28" s="72"/>
      <c r="AU28" s="73"/>
      <c r="AV28" s="65">
        <v>1</v>
      </c>
      <c r="AW28" s="66"/>
      <c r="AX28" s="67"/>
      <c r="AY28" s="68">
        <v>1</v>
      </c>
      <c r="AZ28" s="69">
        <v>1</v>
      </c>
      <c r="BA28" s="70"/>
      <c r="BB28" s="67"/>
      <c r="BC28" s="71"/>
      <c r="BD28" s="68"/>
      <c r="BE28" s="72"/>
      <c r="BF28" s="73"/>
      <c r="BG28" s="65">
        <v>1</v>
      </c>
      <c r="BH28" s="66">
        <v>1</v>
      </c>
      <c r="BI28" s="67"/>
      <c r="BJ28" s="68"/>
      <c r="BK28" s="69"/>
      <c r="BL28" s="70"/>
      <c r="BM28" s="67"/>
      <c r="BN28" s="71"/>
      <c r="BO28" s="68"/>
      <c r="BP28" s="72"/>
      <c r="BQ28" s="73"/>
      <c r="BR28" s="65">
        <v>1</v>
      </c>
      <c r="BS28" s="66">
        <v>1</v>
      </c>
      <c r="BT28" s="67"/>
      <c r="BU28" s="68"/>
      <c r="BV28" s="69"/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27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28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29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30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31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01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02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JOSE</v>
      </c>
      <c r="E33" s="31" t="str">
        <f t="shared" si="0"/>
        <v>ANAHY</v>
      </c>
      <c r="F33" s="32" t="str">
        <f t="shared" si="0"/>
        <v xml:space="preserve">JHOSELYN </v>
      </c>
      <c r="G33" s="33" t="str">
        <f t="shared" si="0"/>
        <v>LINDSAY</v>
      </c>
      <c r="H33" s="34" t="str">
        <f t="shared" si="0"/>
        <v>MILA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JOSE</v>
      </c>
      <c r="P33" s="31" t="str">
        <f t="shared" si="1"/>
        <v>ANAHY</v>
      </c>
      <c r="Q33" s="32" t="str">
        <f t="shared" si="1"/>
        <v xml:space="preserve">JHOSELYN </v>
      </c>
      <c r="R33" s="33" t="str">
        <f t="shared" si="1"/>
        <v>LINDSAY</v>
      </c>
      <c r="S33" s="34" t="str">
        <f t="shared" si="1"/>
        <v>MILA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JOSE</v>
      </c>
      <c r="AA33" s="31" t="str">
        <f t="shared" si="2"/>
        <v>ANAHY</v>
      </c>
      <c r="AB33" s="32" t="str">
        <f t="shared" si="2"/>
        <v xml:space="preserve">JHOSELYN </v>
      </c>
      <c r="AC33" s="33" t="str">
        <f t="shared" si="2"/>
        <v>LINDSAY</v>
      </c>
      <c r="AD33" s="34" t="str">
        <f t="shared" si="2"/>
        <v>MILA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JOSE</v>
      </c>
      <c r="AL33" s="31" t="str">
        <f t="shared" si="3"/>
        <v>ANAHY</v>
      </c>
      <c r="AM33" s="32" t="str">
        <f t="shared" si="3"/>
        <v xml:space="preserve">JHOSELYN </v>
      </c>
      <c r="AN33" s="33" t="str">
        <f t="shared" si="3"/>
        <v>LINDSAY</v>
      </c>
      <c r="AO33" s="34" t="str">
        <f t="shared" si="3"/>
        <v>MILA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JOSE</v>
      </c>
      <c r="AW33" s="31" t="str">
        <f t="shared" si="4"/>
        <v>ANAHY</v>
      </c>
      <c r="AX33" s="32" t="str">
        <f t="shared" si="4"/>
        <v xml:space="preserve">JHOSELYN </v>
      </c>
      <c r="AY33" s="33" t="str">
        <f t="shared" si="4"/>
        <v>LINDSAY</v>
      </c>
      <c r="AZ33" s="34" t="str">
        <f t="shared" si="4"/>
        <v>MILA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JOSE</v>
      </c>
      <c r="BH33" s="31" t="str">
        <f t="shared" si="5"/>
        <v>ANAHY</v>
      </c>
      <c r="BI33" s="32" t="str">
        <f t="shared" si="5"/>
        <v xml:space="preserve">JHOSELYN </v>
      </c>
      <c r="BJ33" s="33">
        <f t="shared" si="5"/>
        <v>0</v>
      </c>
      <c r="BK33" s="34">
        <f t="shared" si="5"/>
        <v>0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JOSE</v>
      </c>
      <c r="BS33" s="31" t="str">
        <f t="shared" si="6"/>
        <v>ANAHY</v>
      </c>
      <c r="BT33" s="32" t="str">
        <f t="shared" si="6"/>
        <v xml:space="preserve">JHOSELYN </v>
      </c>
      <c r="BU33" s="33">
        <f t="shared" si="6"/>
        <v>0</v>
      </c>
      <c r="BV33" s="34">
        <f t="shared" si="6"/>
        <v>0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4</v>
      </c>
      <c r="E34" s="48">
        <f t="shared" ref="E34:M34" si="7">SUM(E7:E30)</f>
        <v>5</v>
      </c>
      <c r="F34" s="49">
        <f t="shared" si="7"/>
        <v>0</v>
      </c>
      <c r="G34" s="50">
        <f t="shared" si="7"/>
        <v>0</v>
      </c>
      <c r="H34" s="51">
        <f t="shared" si="7"/>
        <v>8</v>
      </c>
      <c r="I34" s="52">
        <f t="shared" si="7"/>
        <v>0</v>
      </c>
      <c r="J34" s="49">
        <f t="shared" si="7"/>
        <v>0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0</v>
      </c>
      <c r="P34" s="48">
        <f t="shared" si="8"/>
        <v>4.5</v>
      </c>
      <c r="Q34" s="49">
        <f t="shared" si="8"/>
        <v>4.5</v>
      </c>
      <c r="R34" s="50">
        <f t="shared" si="8"/>
        <v>8</v>
      </c>
      <c r="S34" s="51">
        <f t="shared" si="8"/>
        <v>0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0</v>
      </c>
      <c r="AA34" s="48">
        <f t="shared" si="9"/>
        <v>0</v>
      </c>
      <c r="AB34" s="49">
        <f t="shared" si="9"/>
        <v>4</v>
      </c>
      <c r="AC34" s="50">
        <f t="shared" si="9"/>
        <v>8</v>
      </c>
      <c r="AD34" s="51">
        <f t="shared" si="9"/>
        <v>8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4</v>
      </c>
      <c r="AL34" s="48">
        <f t="shared" si="10"/>
        <v>0</v>
      </c>
      <c r="AM34" s="49">
        <f t="shared" si="10"/>
        <v>4.5</v>
      </c>
      <c r="AN34" s="50">
        <f t="shared" si="10"/>
        <v>8</v>
      </c>
      <c r="AO34" s="51">
        <f t="shared" si="10"/>
        <v>8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4.5</v>
      </c>
      <c r="AW34" s="48">
        <f t="shared" si="11"/>
        <v>4</v>
      </c>
      <c r="AX34" s="49">
        <f t="shared" si="11"/>
        <v>0</v>
      </c>
      <c r="AY34" s="50">
        <f t="shared" si="11"/>
        <v>8</v>
      </c>
      <c r="AZ34" s="51">
        <f t="shared" si="11"/>
        <v>8</v>
      </c>
      <c r="BA34" s="52">
        <f t="shared" si="11"/>
        <v>0.5</v>
      </c>
      <c r="BB34" s="49">
        <f t="shared" si="11"/>
        <v>0.5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9.5</v>
      </c>
      <c r="BH34" s="48">
        <f t="shared" si="12"/>
        <v>5</v>
      </c>
      <c r="BI34" s="49">
        <f t="shared" si="12"/>
        <v>8</v>
      </c>
      <c r="BJ34" s="50">
        <f t="shared" si="12"/>
        <v>0</v>
      </c>
      <c r="BK34" s="51">
        <f t="shared" si="12"/>
        <v>0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9</v>
      </c>
      <c r="BS34" s="48">
        <f t="shared" si="13"/>
        <v>5</v>
      </c>
      <c r="BT34" s="49">
        <f t="shared" si="13"/>
        <v>8</v>
      </c>
      <c r="BU34" s="50">
        <f t="shared" si="13"/>
        <v>0</v>
      </c>
      <c r="BV34" s="51">
        <f t="shared" si="13"/>
        <v>0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45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31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47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23.5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46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29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22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32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 t="s">
        <v>39</v>
      </c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32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0.5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0.5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  <mergeCell ref="B41:J41"/>
    <mergeCell ref="L41:N41"/>
    <mergeCell ref="B42:J42"/>
    <mergeCell ref="L42:N42"/>
    <mergeCell ref="B43:J43"/>
    <mergeCell ref="L43:N43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</mergeCells>
  <conditionalFormatting sqref="D7:M14 D29:M30">
    <cfRule type="expression" dxfId="77" priority="13">
      <formula>IF(OR(D7=0,D7=""),TRUE(),FALSE())</formula>
    </cfRule>
  </conditionalFormatting>
  <conditionalFormatting sqref="D15:M28 BG17:BP28 BG16:BN16 BP16 BG15:BP15">
    <cfRule type="expression" dxfId="76" priority="12">
      <formula>IF(OR(D15=0,D15=""),TRUE(),FALSE())</formula>
    </cfRule>
  </conditionalFormatting>
  <conditionalFormatting sqref="O7:X14 O29:X30">
    <cfRule type="expression" dxfId="75" priority="11">
      <formula>IF(OR(O7=0,O7=""),TRUE(),FALSE())</formula>
    </cfRule>
  </conditionalFormatting>
  <conditionalFormatting sqref="O15:X28">
    <cfRule type="expression" dxfId="74" priority="10">
      <formula>IF(OR(O15=0,O15=""),TRUE(),FALSE())</formula>
    </cfRule>
  </conditionalFormatting>
  <conditionalFormatting sqref="Z7:AI14 Z29:AI30">
    <cfRule type="expression" dxfId="73" priority="9">
      <formula>IF(OR(Z7=0,Z7=""),TRUE(),FALSE())</formula>
    </cfRule>
  </conditionalFormatting>
  <conditionalFormatting sqref="Z15:AI28">
    <cfRule type="expression" dxfId="72" priority="8">
      <formula>IF(OR(Z15=0,Z15=""),TRUE(),FALSE())</formula>
    </cfRule>
  </conditionalFormatting>
  <conditionalFormatting sqref="AK7:AT14 AK29:AT30">
    <cfRule type="expression" dxfId="71" priority="7">
      <formula>IF(OR(AK7=0,AK7=""),TRUE(),FALSE())</formula>
    </cfRule>
  </conditionalFormatting>
  <conditionalFormatting sqref="AK15:AT28">
    <cfRule type="expression" dxfId="70" priority="6">
      <formula>IF(OR(AK15=0,AK15=""),TRUE(),FALSE())</formula>
    </cfRule>
  </conditionalFormatting>
  <conditionalFormatting sqref="AV7:BE14 AV29:BE30">
    <cfRule type="expression" dxfId="69" priority="5">
      <formula>IF(OR(AV7=0,AV7=""),TRUE(),FALSE())</formula>
    </cfRule>
  </conditionalFormatting>
  <conditionalFormatting sqref="AV15:BE28">
    <cfRule type="expression" dxfId="68" priority="4">
      <formula>IF(OR(AV15=0,AV15=""),TRUE(),FALSE())</formula>
    </cfRule>
  </conditionalFormatting>
  <conditionalFormatting sqref="BG7:BP14 BG29:BP30">
    <cfRule type="expression" dxfId="67" priority="3">
      <formula>IF(OR(BG7=0,BG7=""),TRUE(),FALSE())</formula>
    </cfRule>
  </conditionalFormatting>
  <conditionalFormatting sqref="BR7:CA14 BR29:CA30">
    <cfRule type="expression" dxfId="66" priority="2">
      <formula>IF(OR(BR7=0,BR7=""),TRUE(),FALSE())</formula>
    </cfRule>
  </conditionalFormatting>
  <conditionalFormatting sqref="BR15:CA28">
    <cfRule type="expression" dxfId="65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R7:CA30 BG7:BP15 BG17:BP30 BG16:BN16 BP16" xr:uid="{E5A66A11-6AEC-4CCD-BE29-0C12CB97F16C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D184E-96BC-4B86-B063-82412668DF93}">
  <sheetPr codeName="Hoja24"/>
  <dimension ref="A1:CA48"/>
  <sheetViews>
    <sheetView showGridLines="0" zoomScale="82" zoomScaleNormal="82" workbookViewId="0">
      <selection activeCell="CC24" sqref="CC24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03 DE AGOSTO AL 09 DE AGOSTO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46237</v>
      </c>
      <c r="D5" s="63" t="str">
        <f>CONCATENATE("Lunes ",TEXT(DAY(C5),"00"))</f>
        <v>Lunes 03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04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05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06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07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08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09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44</v>
      </c>
      <c r="E6" s="9" t="s">
        <v>33</v>
      </c>
      <c r="F6" s="10" t="s">
        <v>43</v>
      </c>
      <c r="G6" s="11"/>
      <c r="H6" s="12"/>
      <c r="I6" s="13"/>
      <c r="J6" s="10"/>
      <c r="K6" s="14"/>
      <c r="L6" s="11"/>
      <c r="M6" s="15"/>
      <c r="O6" s="8" t="str">
        <f>D6</f>
        <v>JOSE</v>
      </c>
      <c r="P6" s="9" t="str">
        <f>E6</f>
        <v>ANAHY</v>
      </c>
      <c r="Q6" s="10" t="str">
        <f>F6</f>
        <v xml:space="preserve">JHOSELYN </v>
      </c>
      <c r="R6" s="11"/>
      <c r="S6" s="12"/>
      <c r="T6" s="13"/>
      <c r="U6" s="10"/>
      <c r="V6" s="14"/>
      <c r="W6" s="11"/>
      <c r="X6" s="15"/>
      <c r="Z6" s="8" t="str">
        <f>O6</f>
        <v>JOSE</v>
      </c>
      <c r="AA6" s="9" t="s">
        <v>33</v>
      </c>
      <c r="AB6" s="10" t="str">
        <f>Q6</f>
        <v xml:space="preserve">JHOSELYN </v>
      </c>
      <c r="AC6" s="11"/>
      <c r="AD6" s="12"/>
      <c r="AE6" s="13"/>
      <c r="AF6" s="10"/>
      <c r="AG6" s="14"/>
      <c r="AH6" s="11"/>
      <c r="AI6" s="15"/>
      <c r="AK6" s="8" t="str">
        <f>Z6</f>
        <v>JOSE</v>
      </c>
      <c r="AL6" s="9" t="str">
        <f>AA6</f>
        <v>ANAHY</v>
      </c>
      <c r="AM6" s="10" t="str">
        <f>Q6</f>
        <v xml:space="preserve">JHOSELYN </v>
      </c>
      <c r="AN6" s="11"/>
      <c r="AO6" s="12"/>
      <c r="AP6" s="13"/>
      <c r="AQ6" s="10"/>
      <c r="AR6" s="14"/>
      <c r="AS6" s="11"/>
      <c r="AT6" s="15"/>
      <c r="AV6" s="8" t="str">
        <f>AK6</f>
        <v>JOSE</v>
      </c>
      <c r="AW6" s="9" t="s">
        <v>33</v>
      </c>
      <c r="AX6" s="10" t="str">
        <f>AB6</f>
        <v xml:space="preserve">JHOSELYN </v>
      </c>
      <c r="AY6" s="11"/>
      <c r="AZ6" s="12"/>
      <c r="BA6" s="13"/>
      <c r="BB6" s="10"/>
      <c r="BC6" s="14"/>
      <c r="BD6" s="11"/>
      <c r="BE6" s="15"/>
      <c r="BG6" s="8" t="str">
        <f>AV6</f>
        <v>JOSE</v>
      </c>
      <c r="BH6" s="9" t="s">
        <v>33</v>
      </c>
      <c r="BI6" s="10" t="str">
        <f>AX6</f>
        <v xml:space="preserve">JHOSELYN </v>
      </c>
      <c r="BJ6" s="11"/>
      <c r="BK6" s="12"/>
      <c r="BL6" s="13"/>
      <c r="BM6" s="10"/>
      <c r="BN6" s="14"/>
      <c r="BO6" s="11"/>
      <c r="BP6" s="15"/>
      <c r="BR6" s="8" t="str">
        <f>AV6</f>
        <v>JOSE</v>
      </c>
      <c r="BS6" s="9" t="str">
        <f>BH6</f>
        <v>ANAHY</v>
      </c>
      <c r="BT6" s="10" t="str">
        <f>AX6</f>
        <v xml:space="preserve">JHOSELYN </v>
      </c>
      <c r="BU6" s="11"/>
      <c r="BV6" s="12"/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>
        <v>0.5</v>
      </c>
      <c r="BB14" s="18">
        <v>0.5</v>
      </c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/>
      <c r="H15" s="69"/>
      <c r="I15" s="70"/>
      <c r="J15" s="67"/>
      <c r="K15" s="71"/>
      <c r="L15" s="68"/>
      <c r="M15" s="72"/>
      <c r="N15" s="73"/>
      <c r="O15" s="65"/>
      <c r="P15" s="66"/>
      <c r="Q15" s="67"/>
      <c r="R15" s="68"/>
      <c r="S15" s="69"/>
      <c r="T15" s="70"/>
      <c r="U15" s="67"/>
      <c r="V15" s="71"/>
      <c r="W15" s="68"/>
      <c r="X15" s="72"/>
      <c r="Y15" s="73"/>
      <c r="Z15" s="65"/>
      <c r="AA15" s="66"/>
      <c r="AB15" s="67"/>
      <c r="AC15" s="68"/>
      <c r="AD15" s="69"/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/>
      <c r="BI15" s="67"/>
      <c r="BJ15" s="68"/>
      <c r="BK15" s="68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/>
      <c r="F16" s="67"/>
      <c r="G16" s="68"/>
      <c r="H16" s="69"/>
      <c r="I16" s="70"/>
      <c r="J16" s="67"/>
      <c r="K16" s="71"/>
      <c r="L16" s="68"/>
      <c r="M16" s="72"/>
      <c r="N16" s="73"/>
      <c r="O16" s="65"/>
      <c r="P16" s="66"/>
      <c r="Q16" s="67"/>
      <c r="R16" s="68"/>
      <c r="S16" s="69"/>
      <c r="T16" s="70"/>
      <c r="U16" s="67"/>
      <c r="V16" s="71"/>
      <c r="W16" s="68"/>
      <c r="X16" s="72"/>
      <c r="Y16" s="73"/>
      <c r="Z16" s="65"/>
      <c r="AA16" s="66"/>
      <c r="AB16" s="67"/>
      <c r="AC16" s="68"/>
      <c r="AD16" s="69"/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9"/>
      <c r="BI16" s="67"/>
      <c r="BJ16" s="68"/>
      <c r="BK16" s="69"/>
      <c r="BL16" s="70"/>
      <c r="BM16" s="67"/>
      <c r="BN16" s="71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>
        <v>1</v>
      </c>
      <c r="F17" s="67"/>
      <c r="G17" s="68"/>
      <c r="H17" s="69"/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/>
      <c r="S17" s="69"/>
      <c r="T17" s="70"/>
      <c r="U17" s="67"/>
      <c r="V17" s="71"/>
      <c r="W17" s="68"/>
      <c r="X17" s="72"/>
      <c r="Y17" s="73"/>
      <c r="Z17" s="65">
        <v>1</v>
      </c>
      <c r="AA17" s="66"/>
      <c r="AB17" s="67"/>
      <c r="AC17" s="68"/>
      <c r="AD17" s="69"/>
      <c r="AE17" s="70"/>
      <c r="AF17" s="67"/>
      <c r="AG17" s="71"/>
      <c r="AH17" s="68"/>
      <c r="AI17" s="72"/>
      <c r="AJ17" s="73"/>
      <c r="AK17" s="65"/>
      <c r="AL17" s="66">
        <v>1</v>
      </c>
      <c r="AM17" s="67"/>
      <c r="AN17" s="68"/>
      <c r="AO17" s="69"/>
      <c r="AP17" s="70"/>
      <c r="AQ17" s="67"/>
      <c r="AR17" s="71"/>
      <c r="AS17" s="68"/>
      <c r="AT17" s="72"/>
      <c r="AU17" s="73"/>
      <c r="AV17" s="65"/>
      <c r="AW17" s="66">
        <v>1</v>
      </c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/>
      <c r="BI17" s="67">
        <v>1</v>
      </c>
      <c r="BJ17" s="68"/>
      <c r="BK17" s="69"/>
      <c r="BL17" s="70"/>
      <c r="BM17" s="67"/>
      <c r="BN17" s="71"/>
      <c r="BO17" s="68"/>
      <c r="BP17" s="72"/>
      <c r="BQ17" s="73"/>
      <c r="BR17" s="65">
        <v>1</v>
      </c>
      <c r="BS17" s="66"/>
      <c r="BT17" s="67"/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>
        <v>1</v>
      </c>
      <c r="F18" s="67"/>
      <c r="G18" s="68"/>
      <c r="H18" s="69"/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/>
      <c r="S18" s="69"/>
      <c r="T18" s="70"/>
      <c r="U18" s="67"/>
      <c r="V18" s="71"/>
      <c r="W18" s="68"/>
      <c r="X18" s="72"/>
      <c r="Y18" s="73"/>
      <c r="Z18" s="65">
        <v>1</v>
      </c>
      <c r="AA18" s="66"/>
      <c r="AB18" s="67"/>
      <c r="AC18" s="68"/>
      <c r="AD18" s="69"/>
      <c r="AE18" s="70"/>
      <c r="AF18" s="67"/>
      <c r="AG18" s="71"/>
      <c r="AH18" s="68"/>
      <c r="AI18" s="72"/>
      <c r="AJ18" s="73"/>
      <c r="AK18" s="65"/>
      <c r="AL18" s="66">
        <v>1</v>
      </c>
      <c r="AM18" s="67"/>
      <c r="AN18" s="68"/>
      <c r="AO18" s="69"/>
      <c r="AP18" s="70"/>
      <c r="AQ18" s="67"/>
      <c r="AR18" s="71"/>
      <c r="AS18" s="68"/>
      <c r="AT18" s="72"/>
      <c r="AU18" s="73"/>
      <c r="AV18" s="65"/>
      <c r="AW18" s="66">
        <v>1</v>
      </c>
      <c r="AX18" s="67"/>
      <c r="AY18" s="68"/>
      <c r="AZ18" s="69"/>
      <c r="BA18" s="70"/>
      <c r="BB18" s="67"/>
      <c r="BC18" s="71"/>
      <c r="BD18" s="68"/>
      <c r="BE18" s="72"/>
      <c r="BF18" s="73"/>
      <c r="BG18" s="65"/>
      <c r="BH18" s="66"/>
      <c r="BI18" s="67">
        <v>1</v>
      </c>
      <c r="BJ18" s="68"/>
      <c r="BK18" s="69"/>
      <c r="BL18" s="70"/>
      <c r="BM18" s="67"/>
      <c r="BN18" s="71"/>
      <c r="BO18" s="68"/>
      <c r="BP18" s="72"/>
      <c r="BQ18" s="73"/>
      <c r="BR18" s="65">
        <v>1</v>
      </c>
      <c r="BS18" s="66"/>
      <c r="BT18" s="67"/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>
        <v>1</v>
      </c>
      <c r="F19" s="67"/>
      <c r="G19" s="68"/>
      <c r="H19" s="69"/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/>
      <c r="S19" s="69"/>
      <c r="T19" s="70"/>
      <c r="U19" s="67"/>
      <c r="V19" s="71"/>
      <c r="W19" s="68"/>
      <c r="X19" s="72"/>
      <c r="Y19" s="73"/>
      <c r="Z19" s="65">
        <v>1</v>
      </c>
      <c r="AA19" s="66"/>
      <c r="AB19" s="67"/>
      <c r="AC19" s="68"/>
      <c r="AD19" s="69"/>
      <c r="AE19" s="70"/>
      <c r="AF19" s="67"/>
      <c r="AG19" s="71"/>
      <c r="AH19" s="68"/>
      <c r="AI19" s="72"/>
      <c r="AJ19" s="73"/>
      <c r="AK19" s="65"/>
      <c r="AL19" s="66">
        <v>1</v>
      </c>
      <c r="AM19" s="67"/>
      <c r="AN19" s="68"/>
      <c r="AO19" s="69"/>
      <c r="AP19" s="70"/>
      <c r="AQ19" s="67"/>
      <c r="AR19" s="71"/>
      <c r="AS19" s="68"/>
      <c r="AT19" s="72"/>
      <c r="AU19" s="73"/>
      <c r="AV19" s="65"/>
      <c r="AW19" s="66">
        <v>1</v>
      </c>
      <c r="AX19" s="67"/>
      <c r="AY19" s="68"/>
      <c r="AZ19" s="69"/>
      <c r="BA19" s="70"/>
      <c r="BB19" s="67"/>
      <c r="BC19" s="71"/>
      <c r="BD19" s="68"/>
      <c r="BE19" s="72"/>
      <c r="BF19" s="73"/>
      <c r="BG19" s="65"/>
      <c r="BH19" s="66"/>
      <c r="BI19" s="67">
        <v>1</v>
      </c>
      <c r="BJ19" s="68"/>
      <c r="BK19" s="69"/>
      <c r="BL19" s="70"/>
      <c r="BM19" s="67"/>
      <c r="BN19" s="71"/>
      <c r="BO19" s="68"/>
      <c r="BP19" s="72"/>
      <c r="BQ19" s="73"/>
      <c r="BR19" s="65">
        <v>1</v>
      </c>
      <c r="BS19" s="66"/>
      <c r="BT19" s="67"/>
      <c r="BU19" s="68"/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>
        <v>1</v>
      </c>
      <c r="F20" s="67"/>
      <c r="G20" s="68"/>
      <c r="H20" s="69"/>
      <c r="I20" s="70"/>
      <c r="J20" s="67"/>
      <c r="K20" s="71"/>
      <c r="L20" s="68"/>
      <c r="M20" s="72"/>
      <c r="N20" s="74"/>
      <c r="O20" s="65"/>
      <c r="P20" s="66">
        <v>1</v>
      </c>
      <c r="Q20" s="67">
        <v>1</v>
      </c>
      <c r="R20" s="68"/>
      <c r="S20" s="69"/>
      <c r="T20" s="70"/>
      <c r="U20" s="67"/>
      <c r="V20" s="71"/>
      <c r="W20" s="68"/>
      <c r="X20" s="72"/>
      <c r="Y20" s="74"/>
      <c r="Z20" s="65">
        <v>1</v>
      </c>
      <c r="AA20" s="66"/>
      <c r="AB20" s="67"/>
      <c r="AC20" s="68"/>
      <c r="AD20" s="69"/>
      <c r="AE20" s="70"/>
      <c r="AF20" s="67"/>
      <c r="AG20" s="71"/>
      <c r="AH20" s="68"/>
      <c r="AI20" s="72"/>
      <c r="AJ20" s="74"/>
      <c r="AK20" s="65"/>
      <c r="AL20" s="66">
        <v>1</v>
      </c>
      <c r="AM20" s="67"/>
      <c r="AN20" s="68"/>
      <c r="AO20" s="69"/>
      <c r="AP20" s="70"/>
      <c r="AQ20" s="67"/>
      <c r="AR20" s="71"/>
      <c r="AS20" s="68"/>
      <c r="AT20" s="72"/>
      <c r="AU20" s="74"/>
      <c r="AV20" s="65"/>
      <c r="AW20" s="66">
        <v>1</v>
      </c>
      <c r="AX20" s="67"/>
      <c r="AY20" s="68"/>
      <c r="AZ20" s="69"/>
      <c r="BA20" s="70"/>
      <c r="BB20" s="67"/>
      <c r="BC20" s="71"/>
      <c r="BD20" s="68"/>
      <c r="BE20" s="72"/>
      <c r="BF20" s="74"/>
      <c r="BG20" s="65"/>
      <c r="BH20" s="66"/>
      <c r="BI20" s="67">
        <v>1</v>
      </c>
      <c r="BJ20" s="68"/>
      <c r="BK20" s="69"/>
      <c r="BL20" s="70"/>
      <c r="BM20" s="67"/>
      <c r="BN20" s="71"/>
      <c r="BO20" s="68"/>
      <c r="BP20" s="72"/>
      <c r="BQ20" s="74"/>
      <c r="BR20" s="65">
        <v>1</v>
      </c>
      <c r="BS20" s="66"/>
      <c r="BT20" s="67"/>
      <c r="BU20" s="68"/>
      <c r="BV20" s="69"/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>
        <v>1</v>
      </c>
      <c r="F21" s="67"/>
      <c r="G21" s="68"/>
      <c r="H21" s="69"/>
      <c r="I21" s="70"/>
      <c r="J21" s="67"/>
      <c r="K21" s="71"/>
      <c r="L21" s="68"/>
      <c r="M21" s="72"/>
      <c r="N21" s="73"/>
      <c r="O21" s="65"/>
      <c r="P21" s="66">
        <v>1</v>
      </c>
      <c r="Q21" s="67"/>
      <c r="R21" s="68"/>
      <c r="S21" s="69"/>
      <c r="T21" s="70"/>
      <c r="U21" s="67"/>
      <c r="V21" s="71"/>
      <c r="W21" s="68"/>
      <c r="X21" s="72"/>
      <c r="Y21" s="73"/>
      <c r="Z21" s="65">
        <v>1</v>
      </c>
      <c r="AA21" s="66">
        <v>1</v>
      </c>
      <c r="AB21" s="67"/>
      <c r="AC21" s="68"/>
      <c r="AD21" s="69"/>
      <c r="AE21" s="70"/>
      <c r="AF21" s="67"/>
      <c r="AG21" s="71"/>
      <c r="AH21" s="68"/>
      <c r="AI21" s="72"/>
      <c r="AJ21" s="73"/>
      <c r="AK21" s="65"/>
      <c r="AL21" s="66">
        <v>1</v>
      </c>
      <c r="AM21" s="67"/>
      <c r="AN21" s="68"/>
      <c r="AO21" s="69"/>
      <c r="AP21" s="70"/>
      <c r="AQ21" s="67"/>
      <c r="AR21" s="71"/>
      <c r="AS21" s="68"/>
      <c r="AT21" s="72"/>
      <c r="AU21" s="73"/>
      <c r="AV21" s="65"/>
      <c r="AW21" s="66">
        <v>1</v>
      </c>
      <c r="AX21" s="67"/>
      <c r="AY21" s="68"/>
      <c r="AZ21" s="69"/>
      <c r="BA21" s="70"/>
      <c r="BB21" s="67"/>
      <c r="BC21" s="71"/>
      <c r="BD21" s="68"/>
      <c r="BE21" s="72"/>
      <c r="BF21" s="73"/>
      <c r="BG21" s="65"/>
      <c r="BH21" s="66">
        <v>1</v>
      </c>
      <c r="BI21" s="67"/>
      <c r="BJ21" s="68"/>
      <c r="BK21" s="69"/>
      <c r="BL21" s="70"/>
      <c r="BM21" s="67"/>
      <c r="BN21" s="71"/>
      <c r="BO21" s="68"/>
      <c r="BP21" s="72"/>
      <c r="BQ21" s="73"/>
      <c r="BR21" s="65"/>
      <c r="BS21" s="66"/>
      <c r="BT21" s="67">
        <v>1</v>
      </c>
      <c r="BU21" s="68"/>
      <c r="BV21" s="69"/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>
        <v>1</v>
      </c>
      <c r="G22" s="68"/>
      <c r="H22" s="69"/>
      <c r="I22" s="70"/>
      <c r="J22" s="67"/>
      <c r="K22" s="71"/>
      <c r="L22" s="68"/>
      <c r="M22" s="72"/>
      <c r="N22" s="73"/>
      <c r="O22" s="65"/>
      <c r="P22" s="66"/>
      <c r="Q22" s="67">
        <v>1</v>
      </c>
      <c r="R22" s="68"/>
      <c r="S22" s="69"/>
      <c r="T22" s="70"/>
      <c r="U22" s="67"/>
      <c r="V22" s="71"/>
      <c r="W22" s="68"/>
      <c r="X22" s="72"/>
      <c r="Y22" s="73"/>
      <c r="Z22" s="65"/>
      <c r="AA22" s="66">
        <v>1</v>
      </c>
      <c r="AB22" s="67"/>
      <c r="AC22" s="68"/>
      <c r="AD22" s="69"/>
      <c r="AE22" s="70"/>
      <c r="AF22" s="67"/>
      <c r="AG22" s="71"/>
      <c r="AH22" s="68"/>
      <c r="AI22" s="72"/>
      <c r="AJ22" s="73"/>
      <c r="AK22" s="65"/>
      <c r="AL22" s="66"/>
      <c r="AM22" s="67">
        <v>1</v>
      </c>
      <c r="AN22" s="68"/>
      <c r="AO22" s="69"/>
      <c r="AP22" s="70"/>
      <c r="AQ22" s="67"/>
      <c r="AR22" s="71"/>
      <c r="AS22" s="68"/>
      <c r="AT22" s="72"/>
      <c r="AU22" s="73"/>
      <c r="AV22" s="65"/>
      <c r="AW22" s="66"/>
      <c r="AX22" s="67">
        <v>1</v>
      </c>
      <c r="AY22" s="68"/>
      <c r="AZ22" s="69"/>
      <c r="BA22" s="70"/>
      <c r="BB22" s="67"/>
      <c r="BC22" s="71"/>
      <c r="BD22" s="68"/>
      <c r="BE22" s="72"/>
      <c r="BF22" s="73"/>
      <c r="BG22" s="65"/>
      <c r="BH22" s="66">
        <v>1</v>
      </c>
      <c r="BI22" s="67"/>
      <c r="BJ22" s="68"/>
      <c r="BK22" s="69"/>
      <c r="BL22" s="70"/>
      <c r="BM22" s="67"/>
      <c r="BN22" s="71"/>
      <c r="BO22" s="68"/>
      <c r="BP22" s="72"/>
      <c r="BQ22" s="73"/>
      <c r="BR22" s="65">
        <v>1</v>
      </c>
      <c r="BS22" s="66"/>
      <c r="BT22" s="67"/>
      <c r="BU22" s="68"/>
      <c r="BV22" s="69"/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/>
      <c r="E23" s="66"/>
      <c r="F23" s="67">
        <v>1</v>
      </c>
      <c r="G23" s="68"/>
      <c r="H23" s="69"/>
      <c r="I23" s="70"/>
      <c r="J23" s="67"/>
      <c r="K23" s="71"/>
      <c r="L23" s="68"/>
      <c r="M23" s="72"/>
      <c r="N23" s="73"/>
      <c r="O23" s="65"/>
      <c r="P23" s="66"/>
      <c r="Q23" s="67">
        <v>1</v>
      </c>
      <c r="R23" s="68"/>
      <c r="S23" s="69"/>
      <c r="T23" s="70"/>
      <c r="U23" s="67"/>
      <c r="V23" s="71"/>
      <c r="W23" s="68"/>
      <c r="X23" s="72"/>
      <c r="Y23" s="73"/>
      <c r="Z23" s="65">
        <v>1</v>
      </c>
      <c r="AA23" s="66"/>
      <c r="AB23" s="67"/>
      <c r="AC23" s="68"/>
      <c r="AD23" s="69"/>
      <c r="AE23" s="70"/>
      <c r="AF23" s="67"/>
      <c r="AG23" s="71"/>
      <c r="AH23" s="68"/>
      <c r="AI23" s="72"/>
      <c r="AJ23" s="73"/>
      <c r="AK23" s="65">
        <v>1</v>
      </c>
      <c r="AL23" s="66"/>
      <c r="AM23" s="67"/>
      <c r="AN23" s="68"/>
      <c r="AO23" s="69"/>
      <c r="AP23" s="70"/>
      <c r="AQ23" s="67"/>
      <c r="AR23" s="71"/>
      <c r="AS23" s="68"/>
      <c r="AT23" s="72"/>
      <c r="AU23" s="73"/>
      <c r="AV23" s="65">
        <v>1</v>
      </c>
      <c r="AW23" s="66"/>
      <c r="AX23" s="67"/>
      <c r="AY23" s="68"/>
      <c r="AZ23" s="69"/>
      <c r="BA23" s="70"/>
      <c r="BB23" s="67"/>
      <c r="BC23" s="71"/>
      <c r="BD23" s="68"/>
      <c r="BE23" s="72"/>
      <c r="BF23" s="73"/>
      <c r="BG23" s="65">
        <v>1</v>
      </c>
      <c r="BH23" s="66">
        <v>1</v>
      </c>
      <c r="BI23" s="67"/>
      <c r="BJ23" s="68"/>
      <c r="BK23" s="69"/>
      <c r="BL23" s="70"/>
      <c r="BM23" s="67"/>
      <c r="BN23" s="71"/>
      <c r="BO23" s="68"/>
      <c r="BP23" s="72"/>
      <c r="BQ23" s="73"/>
      <c r="BR23" s="65">
        <v>1</v>
      </c>
      <c r="BS23" s="66"/>
      <c r="BT23" s="67">
        <v>1</v>
      </c>
      <c r="BU23" s="68"/>
      <c r="BV23" s="69"/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/>
      <c r="E24" s="66"/>
      <c r="F24" s="67">
        <v>1</v>
      </c>
      <c r="G24" s="68"/>
      <c r="H24" s="69"/>
      <c r="I24" s="70"/>
      <c r="J24" s="67"/>
      <c r="K24" s="71"/>
      <c r="L24" s="68"/>
      <c r="M24" s="72"/>
      <c r="N24" s="73"/>
      <c r="O24" s="65"/>
      <c r="P24" s="66"/>
      <c r="Q24" s="67">
        <v>1</v>
      </c>
      <c r="R24" s="68"/>
      <c r="S24" s="69"/>
      <c r="T24" s="70"/>
      <c r="U24" s="67"/>
      <c r="V24" s="71"/>
      <c r="W24" s="68"/>
      <c r="X24" s="72"/>
      <c r="Y24" s="73"/>
      <c r="Z24" s="65"/>
      <c r="AA24" s="66">
        <v>1</v>
      </c>
      <c r="AB24" s="67"/>
      <c r="AC24" s="68"/>
      <c r="AD24" s="69"/>
      <c r="AE24" s="70"/>
      <c r="AF24" s="67"/>
      <c r="AG24" s="71"/>
      <c r="AH24" s="68"/>
      <c r="AI24" s="72"/>
      <c r="AJ24" s="73"/>
      <c r="AK24" s="65"/>
      <c r="AL24" s="66"/>
      <c r="AM24" s="67">
        <v>1</v>
      </c>
      <c r="AN24" s="68"/>
      <c r="AO24" s="69"/>
      <c r="AP24" s="70"/>
      <c r="AQ24" s="67"/>
      <c r="AR24" s="71"/>
      <c r="AS24" s="68"/>
      <c r="AT24" s="72"/>
      <c r="AU24" s="73"/>
      <c r="AV24" s="65"/>
      <c r="AW24" s="66"/>
      <c r="AX24" s="67">
        <v>1</v>
      </c>
      <c r="AY24" s="68"/>
      <c r="AZ24" s="69"/>
      <c r="BA24" s="70"/>
      <c r="BB24" s="67"/>
      <c r="BC24" s="71"/>
      <c r="BD24" s="68"/>
      <c r="BE24" s="72"/>
      <c r="BF24" s="73"/>
      <c r="BG24" s="65">
        <v>1</v>
      </c>
      <c r="BH24" s="66"/>
      <c r="BI24" s="67"/>
      <c r="BJ24" s="68"/>
      <c r="BK24" s="69"/>
      <c r="BL24" s="70"/>
      <c r="BM24" s="67"/>
      <c r="BN24" s="71"/>
      <c r="BO24" s="68"/>
      <c r="BP24" s="72"/>
      <c r="BQ24" s="73"/>
      <c r="BR24" s="65">
        <v>1</v>
      </c>
      <c r="BS24" s="66"/>
      <c r="BT24" s="67">
        <v>1</v>
      </c>
      <c r="BU24" s="68"/>
      <c r="BV24" s="69"/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>
        <v>1</v>
      </c>
      <c r="E25" s="66"/>
      <c r="F25" s="67"/>
      <c r="G25" s="68"/>
      <c r="H25" s="69"/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/>
      <c r="S25" s="69"/>
      <c r="T25" s="70"/>
      <c r="U25" s="67"/>
      <c r="V25" s="71"/>
      <c r="W25" s="68"/>
      <c r="X25" s="72"/>
      <c r="Y25" s="73"/>
      <c r="Z25" s="65"/>
      <c r="AA25" s="66">
        <v>1</v>
      </c>
      <c r="AB25" s="67"/>
      <c r="AC25" s="68"/>
      <c r="AD25" s="69"/>
      <c r="AE25" s="70"/>
      <c r="AF25" s="67"/>
      <c r="AG25" s="71"/>
      <c r="AH25" s="68"/>
      <c r="AI25" s="72"/>
      <c r="AJ25" s="73"/>
      <c r="AK25" s="65">
        <v>1</v>
      </c>
      <c r="AL25" s="66"/>
      <c r="AM25" s="67">
        <v>1</v>
      </c>
      <c r="AN25" s="68"/>
      <c r="AO25" s="69"/>
      <c r="AP25" s="70"/>
      <c r="AQ25" s="67"/>
      <c r="AR25" s="71"/>
      <c r="AS25" s="68"/>
      <c r="AT25" s="72"/>
      <c r="AU25" s="73"/>
      <c r="AV25" s="65">
        <v>1</v>
      </c>
      <c r="AW25" s="66"/>
      <c r="AX25" s="67">
        <v>1</v>
      </c>
      <c r="AY25" s="68"/>
      <c r="AZ25" s="69"/>
      <c r="BA25" s="70"/>
      <c r="BB25" s="67"/>
      <c r="BC25" s="71"/>
      <c r="BD25" s="68"/>
      <c r="BE25" s="72"/>
      <c r="BF25" s="73"/>
      <c r="BG25" s="65"/>
      <c r="BH25" s="66">
        <v>1</v>
      </c>
      <c r="BI25" s="67"/>
      <c r="BJ25" s="68"/>
      <c r="BK25" s="69"/>
      <c r="BL25" s="70"/>
      <c r="BM25" s="67"/>
      <c r="BN25" s="71"/>
      <c r="BO25" s="68"/>
      <c r="BP25" s="72"/>
      <c r="BQ25" s="73"/>
      <c r="BR25" s="65">
        <v>1</v>
      </c>
      <c r="BS25" s="66"/>
      <c r="BT25" s="67">
        <v>1</v>
      </c>
      <c r="BU25" s="68"/>
      <c r="BV25" s="69"/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>
        <v>1</v>
      </c>
      <c r="E26" s="66"/>
      <c r="F26" s="67">
        <v>1</v>
      </c>
      <c r="G26" s="68"/>
      <c r="H26" s="69"/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/>
      <c r="S26" s="69"/>
      <c r="T26" s="70"/>
      <c r="U26" s="67"/>
      <c r="V26" s="71"/>
      <c r="W26" s="68"/>
      <c r="X26" s="72"/>
      <c r="Y26" s="73"/>
      <c r="Z26" s="65"/>
      <c r="AA26" s="66">
        <v>1</v>
      </c>
      <c r="AB26" s="67"/>
      <c r="AC26" s="68"/>
      <c r="AD26" s="69"/>
      <c r="AE26" s="70"/>
      <c r="AF26" s="67"/>
      <c r="AG26" s="71"/>
      <c r="AH26" s="68"/>
      <c r="AI26" s="72"/>
      <c r="AJ26" s="73"/>
      <c r="AK26" s="65">
        <v>1</v>
      </c>
      <c r="AL26" s="66"/>
      <c r="AM26" s="67">
        <v>1</v>
      </c>
      <c r="AN26" s="68"/>
      <c r="AO26" s="69"/>
      <c r="AP26" s="70"/>
      <c r="AQ26" s="67"/>
      <c r="AR26" s="71"/>
      <c r="AS26" s="68"/>
      <c r="AT26" s="72"/>
      <c r="AU26" s="73"/>
      <c r="AV26" s="65">
        <v>1</v>
      </c>
      <c r="AW26" s="66"/>
      <c r="AX26" s="67">
        <v>1</v>
      </c>
      <c r="AY26" s="68"/>
      <c r="AZ26" s="69"/>
      <c r="BA26" s="70"/>
      <c r="BB26" s="67"/>
      <c r="BC26" s="71"/>
      <c r="BD26" s="68"/>
      <c r="BE26" s="72"/>
      <c r="BF26" s="73"/>
      <c r="BG26" s="65">
        <v>1</v>
      </c>
      <c r="BH26" s="66">
        <v>1</v>
      </c>
      <c r="BI26" s="67"/>
      <c r="BJ26" s="68"/>
      <c r="BK26" s="69"/>
      <c r="BL26" s="70"/>
      <c r="BM26" s="67"/>
      <c r="BN26" s="71"/>
      <c r="BO26" s="68"/>
      <c r="BP26" s="72"/>
      <c r="BQ26" s="73"/>
      <c r="BR26" s="65">
        <v>1</v>
      </c>
      <c r="BS26" s="66"/>
      <c r="BT26" s="67">
        <v>1</v>
      </c>
      <c r="BU26" s="68"/>
      <c r="BV26" s="69"/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>
        <v>1</v>
      </c>
      <c r="E27" s="66"/>
      <c r="F27" s="67">
        <v>1</v>
      </c>
      <c r="G27" s="68"/>
      <c r="H27" s="69"/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/>
      <c r="S27" s="69"/>
      <c r="T27" s="70"/>
      <c r="U27" s="67"/>
      <c r="V27" s="71"/>
      <c r="W27" s="68"/>
      <c r="X27" s="72"/>
      <c r="Y27" s="73"/>
      <c r="Z27" s="65"/>
      <c r="AA27" s="66">
        <v>1</v>
      </c>
      <c r="AB27" s="67"/>
      <c r="AC27" s="68"/>
      <c r="AD27" s="69"/>
      <c r="AE27" s="70"/>
      <c r="AF27" s="67"/>
      <c r="AG27" s="71"/>
      <c r="AH27" s="68"/>
      <c r="AI27" s="72"/>
      <c r="AJ27" s="73"/>
      <c r="AK27" s="65">
        <v>1</v>
      </c>
      <c r="AL27" s="66"/>
      <c r="AM27" s="67">
        <v>1</v>
      </c>
      <c r="AN27" s="68"/>
      <c r="AO27" s="69"/>
      <c r="AP27" s="70"/>
      <c r="AQ27" s="67"/>
      <c r="AR27" s="71"/>
      <c r="AS27" s="68"/>
      <c r="AT27" s="72"/>
      <c r="AU27" s="73"/>
      <c r="AV27" s="65">
        <v>1</v>
      </c>
      <c r="AW27" s="66"/>
      <c r="AX27" s="67">
        <v>1</v>
      </c>
      <c r="AY27" s="68"/>
      <c r="AZ27" s="69"/>
      <c r="BA27" s="70"/>
      <c r="BB27" s="67"/>
      <c r="BC27" s="71"/>
      <c r="BD27" s="68"/>
      <c r="BE27" s="72"/>
      <c r="BF27" s="73"/>
      <c r="BG27" s="65">
        <v>1</v>
      </c>
      <c r="BH27" s="66">
        <v>1</v>
      </c>
      <c r="BI27" s="67"/>
      <c r="BJ27" s="68"/>
      <c r="BK27" s="69"/>
      <c r="BL27" s="70"/>
      <c r="BM27" s="67"/>
      <c r="BN27" s="71"/>
      <c r="BO27" s="68"/>
      <c r="BP27" s="72"/>
      <c r="BQ27" s="73"/>
      <c r="BR27" s="65">
        <v>1</v>
      </c>
      <c r="BS27" s="66"/>
      <c r="BT27" s="67">
        <v>1</v>
      </c>
      <c r="BU27" s="68"/>
      <c r="BV27" s="69"/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>
        <v>1</v>
      </c>
      <c r="E28" s="66"/>
      <c r="F28" s="67">
        <v>1</v>
      </c>
      <c r="G28" s="68"/>
      <c r="H28" s="69"/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/>
      <c r="S28" s="69"/>
      <c r="T28" s="70"/>
      <c r="U28" s="67"/>
      <c r="V28" s="71"/>
      <c r="W28" s="68"/>
      <c r="X28" s="72"/>
      <c r="Y28" s="73"/>
      <c r="Z28" s="65"/>
      <c r="AA28" s="66">
        <v>1</v>
      </c>
      <c r="AB28" s="67"/>
      <c r="AC28" s="68"/>
      <c r="AD28" s="69"/>
      <c r="AE28" s="70"/>
      <c r="AF28" s="67"/>
      <c r="AG28" s="71"/>
      <c r="AH28" s="68"/>
      <c r="AI28" s="72"/>
      <c r="AJ28" s="73"/>
      <c r="AK28" s="65">
        <v>1</v>
      </c>
      <c r="AL28" s="66"/>
      <c r="AM28" s="67">
        <v>1</v>
      </c>
      <c r="AN28" s="68"/>
      <c r="AO28" s="71"/>
      <c r="AP28" s="71"/>
      <c r="AQ28" s="71"/>
      <c r="AR28" s="71"/>
      <c r="AS28" s="68"/>
      <c r="AT28" s="72"/>
      <c r="AU28" s="73"/>
      <c r="AV28" s="65">
        <v>1</v>
      </c>
      <c r="AW28" s="66"/>
      <c r="AX28" s="67">
        <v>1</v>
      </c>
      <c r="AY28" s="68"/>
      <c r="AZ28" s="69"/>
      <c r="BA28" s="70"/>
      <c r="BB28" s="67"/>
      <c r="BC28" s="71"/>
      <c r="BD28" s="68"/>
      <c r="BE28" s="72"/>
      <c r="BF28" s="73"/>
      <c r="BG28" s="65">
        <v>1</v>
      </c>
      <c r="BH28" s="66">
        <v>1</v>
      </c>
      <c r="BI28" s="67"/>
      <c r="BJ28" s="68"/>
      <c r="BK28" s="69"/>
      <c r="BL28" s="70"/>
      <c r="BM28" s="67"/>
      <c r="BN28" s="71"/>
      <c r="BO28" s="68"/>
      <c r="BP28" s="72"/>
      <c r="BQ28" s="73"/>
      <c r="BR28" s="65">
        <v>1</v>
      </c>
      <c r="BS28" s="66"/>
      <c r="BT28" s="67">
        <v>1</v>
      </c>
      <c r="BU28" s="68"/>
      <c r="BV28" s="69"/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03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04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05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06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07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08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09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JOSE</v>
      </c>
      <c r="E33" s="31" t="str">
        <f t="shared" si="0"/>
        <v>ANAHY</v>
      </c>
      <c r="F33" s="32" t="str">
        <f t="shared" si="0"/>
        <v xml:space="preserve">JHOSELYN </v>
      </c>
      <c r="G33" s="33">
        <f t="shared" si="0"/>
        <v>0</v>
      </c>
      <c r="H33" s="34">
        <f t="shared" si="0"/>
        <v>0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JOSE</v>
      </c>
      <c r="P33" s="31" t="str">
        <f t="shared" si="1"/>
        <v>ANAHY</v>
      </c>
      <c r="Q33" s="32" t="str">
        <f t="shared" si="1"/>
        <v xml:space="preserve">JHOSELYN </v>
      </c>
      <c r="R33" s="33">
        <f t="shared" si="1"/>
        <v>0</v>
      </c>
      <c r="S33" s="34">
        <f t="shared" si="1"/>
        <v>0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JOSE</v>
      </c>
      <c r="AA33" s="31" t="str">
        <f t="shared" si="2"/>
        <v>ANAHY</v>
      </c>
      <c r="AB33" s="32" t="str">
        <f t="shared" si="2"/>
        <v xml:space="preserve">JHOSELYN </v>
      </c>
      <c r="AC33" s="33">
        <f t="shared" si="2"/>
        <v>0</v>
      </c>
      <c r="AD33" s="34">
        <f t="shared" si="2"/>
        <v>0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JOSE</v>
      </c>
      <c r="AL33" s="31" t="str">
        <f t="shared" si="3"/>
        <v>ANAHY</v>
      </c>
      <c r="AM33" s="32" t="str">
        <f t="shared" si="3"/>
        <v xml:space="preserve">JHOSELYN </v>
      </c>
      <c r="AN33" s="33">
        <f t="shared" si="3"/>
        <v>0</v>
      </c>
      <c r="AO33" s="34">
        <f t="shared" si="3"/>
        <v>0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JOSE</v>
      </c>
      <c r="AW33" s="31" t="str">
        <f t="shared" si="4"/>
        <v>ANAHY</v>
      </c>
      <c r="AX33" s="32" t="str">
        <f t="shared" si="4"/>
        <v xml:space="preserve">JHOSELYN </v>
      </c>
      <c r="AY33" s="33">
        <f t="shared" si="4"/>
        <v>0</v>
      </c>
      <c r="AZ33" s="34">
        <f t="shared" si="4"/>
        <v>0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JOSE</v>
      </c>
      <c r="BH33" s="31" t="str">
        <f t="shared" si="5"/>
        <v>ANAHY</v>
      </c>
      <c r="BI33" s="32" t="str">
        <f t="shared" si="5"/>
        <v xml:space="preserve">JHOSELYN </v>
      </c>
      <c r="BJ33" s="33">
        <f t="shared" si="5"/>
        <v>0</v>
      </c>
      <c r="BK33" s="34">
        <f t="shared" si="5"/>
        <v>0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JOSE</v>
      </c>
      <c r="BS33" s="31" t="str">
        <f t="shared" si="6"/>
        <v>ANAHY</v>
      </c>
      <c r="BT33" s="32" t="str">
        <f t="shared" si="6"/>
        <v xml:space="preserve">JHOSELYN </v>
      </c>
      <c r="BU33" s="33">
        <f t="shared" si="6"/>
        <v>0</v>
      </c>
      <c r="BV33" s="34">
        <f t="shared" si="6"/>
        <v>0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4</v>
      </c>
      <c r="E34" s="48">
        <f t="shared" ref="E34:M34" si="7">SUM(E7:E30)</f>
        <v>5</v>
      </c>
      <c r="F34" s="49">
        <f t="shared" si="7"/>
        <v>6</v>
      </c>
      <c r="G34" s="50">
        <f t="shared" si="7"/>
        <v>0</v>
      </c>
      <c r="H34" s="51">
        <f t="shared" si="7"/>
        <v>0</v>
      </c>
      <c r="I34" s="52">
        <f t="shared" si="7"/>
        <v>0</v>
      </c>
      <c r="J34" s="49">
        <f t="shared" si="7"/>
        <v>0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0</v>
      </c>
      <c r="P34" s="48">
        <f t="shared" si="8"/>
        <v>5</v>
      </c>
      <c r="Q34" s="49">
        <f t="shared" si="8"/>
        <v>8</v>
      </c>
      <c r="R34" s="50">
        <f t="shared" si="8"/>
        <v>0</v>
      </c>
      <c r="S34" s="51">
        <f t="shared" si="8"/>
        <v>0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6</v>
      </c>
      <c r="AA34" s="48">
        <f t="shared" si="9"/>
        <v>7</v>
      </c>
      <c r="AB34" s="49">
        <f t="shared" si="9"/>
        <v>0</v>
      </c>
      <c r="AC34" s="50">
        <f t="shared" si="9"/>
        <v>0</v>
      </c>
      <c r="AD34" s="51">
        <f t="shared" si="9"/>
        <v>0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5</v>
      </c>
      <c r="AL34" s="48">
        <f t="shared" si="10"/>
        <v>5</v>
      </c>
      <c r="AM34" s="49">
        <f t="shared" si="10"/>
        <v>6</v>
      </c>
      <c r="AN34" s="50">
        <f t="shared" si="10"/>
        <v>0</v>
      </c>
      <c r="AO34" s="51">
        <f t="shared" si="10"/>
        <v>0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5</v>
      </c>
      <c r="AW34" s="48">
        <f t="shared" si="11"/>
        <v>5</v>
      </c>
      <c r="AX34" s="49">
        <f t="shared" si="11"/>
        <v>6</v>
      </c>
      <c r="AY34" s="50">
        <f t="shared" si="11"/>
        <v>0</v>
      </c>
      <c r="AZ34" s="51">
        <f t="shared" si="11"/>
        <v>0</v>
      </c>
      <c r="BA34" s="52">
        <f t="shared" si="11"/>
        <v>0.5</v>
      </c>
      <c r="BB34" s="49">
        <f t="shared" si="11"/>
        <v>0.5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5</v>
      </c>
      <c r="BH34" s="48">
        <f t="shared" si="12"/>
        <v>7</v>
      </c>
      <c r="BI34" s="49">
        <f t="shared" si="12"/>
        <v>4</v>
      </c>
      <c r="BJ34" s="50">
        <f t="shared" si="12"/>
        <v>0</v>
      </c>
      <c r="BK34" s="51">
        <f t="shared" si="12"/>
        <v>0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11</v>
      </c>
      <c r="BS34" s="48">
        <f t="shared" si="13"/>
        <v>0</v>
      </c>
      <c r="BT34" s="49">
        <f t="shared" si="13"/>
        <v>7</v>
      </c>
      <c r="BU34" s="50">
        <f t="shared" si="13"/>
        <v>0</v>
      </c>
      <c r="BV34" s="51">
        <f t="shared" si="13"/>
        <v>0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45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36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47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34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46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37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/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0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/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0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0.5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0.5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41:J41"/>
    <mergeCell ref="L41:N41"/>
    <mergeCell ref="B42:J42"/>
    <mergeCell ref="L42:N42"/>
    <mergeCell ref="B43:J43"/>
    <mergeCell ref="L43:N43"/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</mergeCells>
  <conditionalFormatting sqref="D7:M14 D29:M30">
    <cfRule type="expression" dxfId="64" priority="13">
      <formula>IF(OR(D7=0,D7=""),TRUE(),FALSE())</formula>
    </cfRule>
  </conditionalFormatting>
  <conditionalFormatting sqref="BG16:BN16 BP16 BG15:BP15 D15:M28 BG17:BP28">
    <cfRule type="expression" dxfId="63" priority="12">
      <formula>IF(OR(D15=0,D15=""),TRUE(),FALSE())</formula>
    </cfRule>
  </conditionalFormatting>
  <conditionalFormatting sqref="O7:X14 O29:X30">
    <cfRule type="expression" dxfId="62" priority="11">
      <formula>IF(OR(O7=0,O7=""),TRUE(),FALSE())</formula>
    </cfRule>
  </conditionalFormatting>
  <conditionalFormatting sqref="O15:X28">
    <cfRule type="expression" dxfId="61" priority="10">
      <formula>IF(OR(O15=0,O15=""),TRUE(),FALSE())</formula>
    </cfRule>
  </conditionalFormatting>
  <conditionalFormatting sqref="Z7:AI14 Z29:AI30">
    <cfRule type="expression" dxfId="60" priority="9">
      <formula>IF(OR(Z7=0,Z7=""),TRUE(),FALSE())</formula>
    </cfRule>
  </conditionalFormatting>
  <conditionalFormatting sqref="Z15:AI28">
    <cfRule type="expression" dxfId="59" priority="8">
      <formula>IF(OR(Z15=0,Z15=""),TRUE(),FALSE())</formula>
    </cfRule>
  </conditionalFormatting>
  <conditionalFormatting sqref="AK7:AT14 AK29:AT30">
    <cfRule type="expression" dxfId="58" priority="7">
      <formula>IF(OR(AK7=0,AK7=""),TRUE(),FALSE())</formula>
    </cfRule>
  </conditionalFormatting>
  <conditionalFormatting sqref="AK15:AT28">
    <cfRule type="expression" dxfId="57" priority="6">
      <formula>IF(OR(AK15=0,AK15=""),TRUE(),FALSE())</formula>
    </cfRule>
  </conditionalFormatting>
  <conditionalFormatting sqref="AV7:BE14 AV29:BE30">
    <cfRule type="expression" dxfId="56" priority="5">
      <formula>IF(OR(AV7=0,AV7=""),TRUE(),FALSE())</formula>
    </cfRule>
  </conditionalFormatting>
  <conditionalFormatting sqref="AV15:BE28">
    <cfRule type="expression" dxfId="55" priority="4">
      <formula>IF(OR(AV15=0,AV15=""),TRUE(),FALSE())</formula>
    </cfRule>
  </conditionalFormatting>
  <conditionalFormatting sqref="BG7:BP14 BG29:BP30">
    <cfRule type="expression" dxfId="54" priority="3">
      <formula>IF(OR(BG7=0,BG7=""),TRUE(),FALSE())</formula>
    </cfRule>
  </conditionalFormatting>
  <conditionalFormatting sqref="BR7:CA14 BR29:CA30">
    <cfRule type="expression" dxfId="53" priority="2">
      <formula>IF(OR(BR7=0,BR7=""),TRUE(),FALSE())</formula>
    </cfRule>
  </conditionalFormatting>
  <conditionalFormatting sqref="BR15:CA28">
    <cfRule type="expression" dxfId="52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R7:CA30 BG7:BP15 BG17:BP30 BG16:BN16 BP16" xr:uid="{BB02F350-3C5D-4535-933E-D2B3BF44D6F3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90DCA-2991-45FC-859A-B54B07F91E59}">
  <sheetPr codeName="Hoja25"/>
  <dimension ref="A1:CA48"/>
  <sheetViews>
    <sheetView showGridLines="0" topLeftCell="B3" zoomScale="85" zoomScaleNormal="85" workbookViewId="0">
      <selection activeCell="BG24" sqref="BG24:BG28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10 DE AGOSTO AL 16 DE AGOSTO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46244</v>
      </c>
      <c r="D5" s="63" t="str">
        <f>CONCATENATE("Lunes ",TEXT(DAY(C5),"00"))</f>
        <v>Lunes 10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11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12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13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14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15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16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44</v>
      </c>
      <c r="E6" s="9" t="s">
        <v>33</v>
      </c>
      <c r="F6" s="10" t="s">
        <v>43</v>
      </c>
      <c r="G6" s="11" t="s">
        <v>48</v>
      </c>
      <c r="H6" s="12"/>
      <c r="I6" s="13"/>
      <c r="J6" s="10"/>
      <c r="K6" s="14"/>
      <c r="L6" s="11"/>
      <c r="M6" s="15"/>
      <c r="O6" s="8" t="str">
        <f>D6</f>
        <v>JOSE</v>
      </c>
      <c r="P6" s="9" t="str">
        <f>E6</f>
        <v>ANAHY</v>
      </c>
      <c r="Q6" s="10" t="str">
        <f>F6</f>
        <v xml:space="preserve">JHOSELYN </v>
      </c>
      <c r="R6" s="11"/>
      <c r="S6" s="12"/>
      <c r="T6" s="13"/>
      <c r="U6" s="10"/>
      <c r="V6" s="14"/>
      <c r="W6" s="11"/>
      <c r="X6" s="15"/>
      <c r="Z6" s="8" t="str">
        <f>O6</f>
        <v>JOSE</v>
      </c>
      <c r="AA6" s="9" t="s">
        <v>33</v>
      </c>
      <c r="AB6" s="10" t="str">
        <f>Q6</f>
        <v xml:space="preserve">JHOSELYN </v>
      </c>
      <c r="AC6" s="11"/>
      <c r="AD6" s="12"/>
      <c r="AE6" s="13"/>
      <c r="AF6" s="10"/>
      <c r="AG6" s="14"/>
      <c r="AH6" s="11"/>
      <c r="AI6" s="15"/>
      <c r="AK6" s="8" t="str">
        <f>Z6</f>
        <v>JOSE</v>
      </c>
      <c r="AL6" s="9" t="str">
        <f>AA6</f>
        <v>ANAHY</v>
      </c>
      <c r="AM6" s="10" t="str">
        <f>Q6</f>
        <v xml:space="preserve">JHOSELYN </v>
      </c>
      <c r="AN6" s="11"/>
      <c r="AO6" s="12"/>
      <c r="AP6" s="13"/>
      <c r="AQ6" s="10"/>
      <c r="AR6" s="14"/>
      <c r="AS6" s="11"/>
      <c r="AT6" s="15"/>
      <c r="AV6" s="8" t="str">
        <f>AK6</f>
        <v>JOSE</v>
      </c>
      <c r="AW6" s="9" t="s">
        <v>33</v>
      </c>
      <c r="AX6" s="10" t="str">
        <f>AB6</f>
        <v xml:space="preserve">JHOSELYN </v>
      </c>
      <c r="AY6" s="11"/>
      <c r="AZ6" s="12"/>
      <c r="BA6" s="13"/>
      <c r="BB6" s="10"/>
      <c r="BC6" s="14"/>
      <c r="BD6" s="11"/>
      <c r="BE6" s="15"/>
      <c r="BG6" s="8" t="str">
        <f>AV6</f>
        <v>JOSE</v>
      </c>
      <c r="BH6" s="9" t="s">
        <v>33</v>
      </c>
      <c r="BI6" s="10" t="str">
        <f>AX6</f>
        <v xml:space="preserve">JHOSELYN </v>
      </c>
      <c r="BJ6" s="11"/>
      <c r="BK6" s="12"/>
      <c r="BL6" s="13"/>
      <c r="BM6" s="10"/>
      <c r="BN6" s="14"/>
      <c r="BO6" s="11"/>
      <c r="BP6" s="15"/>
      <c r="BR6" s="8" t="str">
        <f>AV6</f>
        <v>JOSE</v>
      </c>
      <c r="BS6" s="9" t="str">
        <f>BH6</f>
        <v>ANAHY</v>
      </c>
      <c r="BT6" s="10" t="str">
        <f>AX6</f>
        <v xml:space="preserve">JHOSELYN </v>
      </c>
      <c r="BU6" s="11"/>
      <c r="BV6" s="12"/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>
        <v>0.5</v>
      </c>
      <c r="BB14" s="18">
        <v>0.5</v>
      </c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/>
      <c r="H15" s="69"/>
      <c r="I15" s="70"/>
      <c r="J15" s="67"/>
      <c r="K15" s="71"/>
      <c r="L15" s="68"/>
      <c r="M15" s="72"/>
      <c r="N15" s="73"/>
      <c r="O15" s="65"/>
      <c r="P15" s="66"/>
      <c r="Q15" s="67"/>
      <c r="R15" s="68"/>
      <c r="S15" s="69"/>
      <c r="T15" s="70"/>
      <c r="U15" s="67"/>
      <c r="V15" s="71"/>
      <c r="W15" s="68"/>
      <c r="X15" s="72"/>
      <c r="Y15" s="73"/>
      <c r="Z15" s="65"/>
      <c r="AA15" s="66"/>
      <c r="AB15" s="67"/>
      <c r="AC15" s="68"/>
      <c r="AD15" s="69"/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/>
      <c r="BI15" s="67"/>
      <c r="BJ15" s="68"/>
      <c r="BK15" s="68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/>
      <c r="F16" s="67"/>
      <c r="G16" s="68"/>
      <c r="H16" s="69"/>
      <c r="I16" s="70"/>
      <c r="J16" s="67"/>
      <c r="K16" s="71"/>
      <c r="L16" s="68"/>
      <c r="M16" s="72"/>
      <c r="N16" s="73"/>
      <c r="O16" s="65"/>
      <c r="P16" s="66"/>
      <c r="Q16" s="67"/>
      <c r="R16" s="68"/>
      <c r="S16" s="69"/>
      <c r="T16" s="70"/>
      <c r="U16" s="67"/>
      <c r="V16" s="71"/>
      <c r="W16" s="68"/>
      <c r="X16" s="72"/>
      <c r="Y16" s="73"/>
      <c r="Z16" s="65"/>
      <c r="AA16" s="66"/>
      <c r="AB16" s="67"/>
      <c r="AC16" s="68"/>
      <c r="AD16" s="69"/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9"/>
      <c r="BI16" s="67"/>
      <c r="BJ16" s="68"/>
      <c r="BK16" s="69"/>
      <c r="BL16" s="70"/>
      <c r="BM16" s="67"/>
      <c r="BN16" s="71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>
        <v>1</v>
      </c>
      <c r="F17" s="67"/>
      <c r="G17" s="68"/>
      <c r="H17" s="69"/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/>
      <c r="S17" s="69"/>
      <c r="T17" s="70"/>
      <c r="U17" s="67"/>
      <c r="V17" s="71"/>
      <c r="W17" s="68"/>
      <c r="X17" s="72"/>
      <c r="Y17" s="73"/>
      <c r="Z17" s="65">
        <v>1</v>
      </c>
      <c r="AA17" s="66"/>
      <c r="AB17" s="67"/>
      <c r="AC17" s="68"/>
      <c r="AD17" s="69"/>
      <c r="AE17" s="70"/>
      <c r="AF17" s="67"/>
      <c r="AG17" s="71"/>
      <c r="AH17" s="68"/>
      <c r="AI17" s="72"/>
      <c r="AJ17" s="73"/>
      <c r="AK17" s="65"/>
      <c r="AL17" s="66">
        <v>1</v>
      </c>
      <c r="AM17" s="67"/>
      <c r="AN17" s="68"/>
      <c r="AO17" s="69"/>
      <c r="AP17" s="70"/>
      <c r="AQ17" s="67"/>
      <c r="AR17" s="71"/>
      <c r="AS17" s="68"/>
      <c r="AT17" s="72"/>
      <c r="AU17" s="73"/>
      <c r="AV17" s="65"/>
      <c r="AW17" s="66">
        <v>1</v>
      </c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/>
      <c r="BI17" s="67">
        <v>1</v>
      </c>
      <c r="BJ17" s="68"/>
      <c r="BK17" s="69"/>
      <c r="BL17" s="70"/>
      <c r="BM17" s="67"/>
      <c r="BN17" s="71"/>
      <c r="BO17" s="68"/>
      <c r="BP17" s="72"/>
      <c r="BQ17" s="73"/>
      <c r="BR17" s="65">
        <v>1</v>
      </c>
      <c r="BS17" s="66"/>
      <c r="BT17" s="67"/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>
        <v>1</v>
      </c>
      <c r="F18" s="67"/>
      <c r="G18" s="68"/>
      <c r="H18" s="69"/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/>
      <c r="S18" s="69"/>
      <c r="T18" s="70"/>
      <c r="U18" s="67"/>
      <c r="V18" s="71"/>
      <c r="W18" s="68"/>
      <c r="X18" s="72"/>
      <c r="Y18" s="73"/>
      <c r="Z18" s="65">
        <v>1</v>
      </c>
      <c r="AA18" s="66"/>
      <c r="AB18" s="67"/>
      <c r="AC18" s="68"/>
      <c r="AD18" s="69"/>
      <c r="AE18" s="70"/>
      <c r="AF18" s="67"/>
      <c r="AG18" s="71"/>
      <c r="AH18" s="68"/>
      <c r="AI18" s="72"/>
      <c r="AJ18" s="73"/>
      <c r="AK18" s="65"/>
      <c r="AL18" s="66">
        <v>1</v>
      </c>
      <c r="AM18" s="67"/>
      <c r="AN18" s="68"/>
      <c r="AO18" s="69"/>
      <c r="AP18" s="70"/>
      <c r="AQ18" s="67"/>
      <c r="AR18" s="71"/>
      <c r="AS18" s="68"/>
      <c r="AT18" s="72"/>
      <c r="AU18" s="73"/>
      <c r="AV18" s="65"/>
      <c r="AW18" s="66">
        <v>1</v>
      </c>
      <c r="AX18" s="67"/>
      <c r="AY18" s="68"/>
      <c r="AZ18" s="69"/>
      <c r="BA18" s="70"/>
      <c r="BB18" s="67"/>
      <c r="BC18" s="71"/>
      <c r="BD18" s="68"/>
      <c r="BE18" s="72"/>
      <c r="BF18" s="73"/>
      <c r="BG18" s="65"/>
      <c r="BH18" s="66"/>
      <c r="BI18" s="67">
        <v>1</v>
      </c>
      <c r="BJ18" s="68"/>
      <c r="BK18" s="69"/>
      <c r="BL18" s="70"/>
      <c r="BM18" s="67"/>
      <c r="BN18" s="71"/>
      <c r="BO18" s="68"/>
      <c r="BP18" s="72"/>
      <c r="BQ18" s="73"/>
      <c r="BR18" s="65">
        <v>1</v>
      </c>
      <c r="BS18" s="66"/>
      <c r="BT18" s="67"/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>
        <v>1</v>
      </c>
      <c r="F19" s="67"/>
      <c r="G19" s="68"/>
      <c r="H19" s="69"/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/>
      <c r="S19" s="69"/>
      <c r="T19" s="70"/>
      <c r="U19" s="67"/>
      <c r="V19" s="71"/>
      <c r="W19" s="68"/>
      <c r="X19" s="72"/>
      <c r="Y19" s="73"/>
      <c r="Z19" s="65">
        <v>1</v>
      </c>
      <c r="AA19" s="66"/>
      <c r="AB19" s="67"/>
      <c r="AC19" s="68"/>
      <c r="AD19" s="69"/>
      <c r="AE19" s="70"/>
      <c r="AF19" s="67"/>
      <c r="AG19" s="71"/>
      <c r="AH19" s="68"/>
      <c r="AI19" s="72"/>
      <c r="AJ19" s="73"/>
      <c r="AK19" s="65"/>
      <c r="AL19" s="66">
        <v>1</v>
      </c>
      <c r="AM19" s="67"/>
      <c r="AN19" s="68"/>
      <c r="AO19" s="69"/>
      <c r="AP19" s="70"/>
      <c r="AQ19" s="67"/>
      <c r="AR19" s="71"/>
      <c r="AS19" s="68"/>
      <c r="AT19" s="72"/>
      <c r="AU19" s="73"/>
      <c r="AV19" s="65"/>
      <c r="AW19" s="66">
        <v>1</v>
      </c>
      <c r="AX19" s="67"/>
      <c r="AY19" s="68"/>
      <c r="AZ19" s="69"/>
      <c r="BA19" s="70"/>
      <c r="BB19" s="67"/>
      <c r="BC19" s="71"/>
      <c r="BD19" s="68"/>
      <c r="BE19" s="72"/>
      <c r="BF19" s="73"/>
      <c r="BG19" s="65"/>
      <c r="BH19" s="66"/>
      <c r="BI19" s="67">
        <v>1</v>
      </c>
      <c r="BJ19" s="68"/>
      <c r="BK19" s="69"/>
      <c r="BL19" s="70"/>
      <c r="BM19" s="67"/>
      <c r="BN19" s="71"/>
      <c r="BO19" s="68"/>
      <c r="BP19" s="72"/>
      <c r="BQ19" s="73"/>
      <c r="BR19" s="65">
        <v>1</v>
      </c>
      <c r="BS19" s="66"/>
      <c r="BT19" s="67"/>
      <c r="BU19" s="68"/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>
        <v>1</v>
      </c>
      <c r="F20" s="67"/>
      <c r="G20" s="68">
        <v>1</v>
      </c>
      <c r="H20" s="69"/>
      <c r="I20" s="70"/>
      <c r="J20" s="67"/>
      <c r="K20" s="71"/>
      <c r="L20" s="68"/>
      <c r="M20" s="72"/>
      <c r="N20" s="74"/>
      <c r="O20" s="65"/>
      <c r="P20" s="66">
        <v>1</v>
      </c>
      <c r="Q20" s="67">
        <v>1</v>
      </c>
      <c r="R20" s="68"/>
      <c r="S20" s="69"/>
      <c r="T20" s="70"/>
      <c r="U20" s="67"/>
      <c r="V20" s="71"/>
      <c r="W20" s="68"/>
      <c r="X20" s="72"/>
      <c r="Y20" s="74"/>
      <c r="Z20" s="65">
        <v>1</v>
      </c>
      <c r="AA20" s="66"/>
      <c r="AB20" s="67"/>
      <c r="AC20" s="68"/>
      <c r="AD20" s="69"/>
      <c r="AE20" s="70"/>
      <c r="AF20" s="67"/>
      <c r="AG20" s="71"/>
      <c r="AH20" s="68"/>
      <c r="AI20" s="72"/>
      <c r="AJ20" s="74"/>
      <c r="AK20" s="65"/>
      <c r="AL20" s="66">
        <v>1</v>
      </c>
      <c r="AM20" s="67"/>
      <c r="AN20" s="68"/>
      <c r="AO20" s="69"/>
      <c r="AP20" s="70"/>
      <c r="AQ20" s="67"/>
      <c r="AR20" s="71"/>
      <c r="AS20" s="68"/>
      <c r="AT20" s="72"/>
      <c r="AU20" s="74"/>
      <c r="AV20" s="65"/>
      <c r="AW20" s="66">
        <v>1</v>
      </c>
      <c r="AX20" s="67"/>
      <c r="AY20" s="68"/>
      <c r="AZ20" s="69"/>
      <c r="BA20" s="70"/>
      <c r="BB20" s="67"/>
      <c r="BC20" s="71"/>
      <c r="BD20" s="68"/>
      <c r="BE20" s="72"/>
      <c r="BF20" s="74"/>
      <c r="BG20" s="65"/>
      <c r="BH20" s="66"/>
      <c r="BI20" s="67">
        <v>1</v>
      </c>
      <c r="BJ20" s="68"/>
      <c r="BK20" s="69"/>
      <c r="BL20" s="70"/>
      <c r="BM20" s="67"/>
      <c r="BN20" s="71"/>
      <c r="BO20" s="68"/>
      <c r="BP20" s="72"/>
      <c r="BQ20" s="74"/>
      <c r="BR20" s="65">
        <v>1</v>
      </c>
      <c r="BS20" s="66"/>
      <c r="BT20" s="67"/>
      <c r="BU20" s="68"/>
      <c r="BV20" s="69"/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>
        <v>1</v>
      </c>
      <c r="F21" s="67"/>
      <c r="G21" s="68">
        <v>1</v>
      </c>
      <c r="H21" s="69"/>
      <c r="I21" s="70"/>
      <c r="J21" s="67"/>
      <c r="K21" s="71"/>
      <c r="L21" s="68"/>
      <c r="M21" s="72"/>
      <c r="N21" s="73"/>
      <c r="O21" s="65"/>
      <c r="P21" s="66">
        <v>1</v>
      </c>
      <c r="Q21" s="67"/>
      <c r="R21" s="68"/>
      <c r="S21" s="69"/>
      <c r="T21" s="70"/>
      <c r="U21" s="67"/>
      <c r="V21" s="71"/>
      <c r="W21" s="68"/>
      <c r="X21" s="72"/>
      <c r="Y21" s="73"/>
      <c r="Z21" s="65"/>
      <c r="AA21" s="66"/>
      <c r="AB21" s="67">
        <v>1</v>
      </c>
      <c r="AC21" s="68"/>
      <c r="AD21" s="69"/>
      <c r="AE21" s="70"/>
      <c r="AF21" s="67"/>
      <c r="AG21" s="71"/>
      <c r="AH21" s="68"/>
      <c r="AI21" s="72"/>
      <c r="AJ21" s="73"/>
      <c r="AK21" s="65"/>
      <c r="AL21" s="66">
        <v>1</v>
      </c>
      <c r="AM21" s="67"/>
      <c r="AN21" s="68"/>
      <c r="AO21" s="69"/>
      <c r="AP21" s="70"/>
      <c r="AQ21" s="67"/>
      <c r="AR21" s="71"/>
      <c r="AS21" s="68"/>
      <c r="AT21" s="72"/>
      <c r="AU21" s="73"/>
      <c r="AV21" s="65"/>
      <c r="AW21" s="66">
        <v>1</v>
      </c>
      <c r="AX21" s="67"/>
      <c r="AY21" s="68"/>
      <c r="AZ21" s="69"/>
      <c r="BA21" s="70"/>
      <c r="BB21" s="67"/>
      <c r="BC21" s="71"/>
      <c r="BD21" s="68"/>
      <c r="BE21" s="72"/>
      <c r="BF21" s="73"/>
      <c r="BG21" s="65"/>
      <c r="BH21" s="66">
        <v>1</v>
      </c>
      <c r="BI21" s="67"/>
      <c r="BJ21" s="68"/>
      <c r="BK21" s="69"/>
      <c r="BL21" s="70"/>
      <c r="BM21" s="67"/>
      <c r="BN21" s="71"/>
      <c r="BO21" s="68"/>
      <c r="BP21" s="72"/>
      <c r="BQ21" s="73"/>
      <c r="BR21" s="65"/>
      <c r="BS21" s="66">
        <v>1</v>
      </c>
      <c r="BT21" s="67"/>
      <c r="BU21" s="68"/>
      <c r="BV21" s="69"/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>
        <v>1</v>
      </c>
      <c r="G22" s="68">
        <v>1</v>
      </c>
      <c r="H22" s="69"/>
      <c r="I22" s="70"/>
      <c r="J22" s="67"/>
      <c r="K22" s="71"/>
      <c r="L22" s="68"/>
      <c r="M22" s="72"/>
      <c r="N22" s="73"/>
      <c r="O22" s="65"/>
      <c r="P22" s="66"/>
      <c r="Q22" s="67">
        <v>1</v>
      </c>
      <c r="R22" s="68"/>
      <c r="S22" s="69"/>
      <c r="T22" s="70"/>
      <c r="U22" s="67"/>
      <c r="V22" s="71"/>
      <c r="W22" s="68"/>
      <c r="X22" s="72"/>
      <c r="Y22" s="73"/>
      <c r="Z22" s="65">
        <v>1</v>
      </c>
      <c r="AA22" s="66"/>
      <c r="AB22" s="67">
        <v>1</v>
      </c>
      <c r="AC22" s="68"/>
      <c r="AD22" s="69"/>
      <c r="AE22" s="70"/>
      <c r="AF22" s="67"/>
      <c r="AG22" s="71"/>
      <c r="AH22" s="68"/>
      <c r="AI22" s="72"/>
      <c r="AJ22" s="73"/>
      <c r="AK22" s="65"/>
      <c r="AL22" s="66"/>
      <c r="AM22" s="67">
        <v>1</v>
      </c>
      <c r="AN22" s="68"/>
      <c r="AO22" s="69"/>
      <c r="AP22" s="70"/>
      <c r="AQ22" s="67"/>
      <c r="AR22" s="71"/>
      <c r="AS22" s="68"/>
      <c r="AT22" s="72"/>
      <c r="AU22" s="73"/>
      <c r="AV22" s="65"/>
      <c r="AW22" s="66"/>
      <c r="AX22" s="67">
        <v>1</v>
      </c>
      <c r="AY22" s="68"/>
      <c r="AZ22" s="69"/>
      <c r="BA22" s="70"/>
      <c r="BB22" s="67"/>
      <c r="BC22" s="71"/>
      <c r="BD22" s="68"/>
      <c r="BE22" s="72"/>
      <c r="BF22" s="73"/>
      <c r="BG22" s="65"/>
      <c r="BH22" s="66">
        <v>1</v>
      </c>
      <c r="BI22" s="67"/>
      <c r="BJ22" s="68"/>
      <c r="BK22" s="69"/>
      <c r="BL22" s="70"/>
      <c r="BM22" s="67"/>
      <c r="BN22" s="71"/>
      <c r="BO22" s="68"/>
      <c r="BP22" s="72"/>
      <c r="BQ22" s="73"/>
      <c r="BR22" s="65">
        <v>1</v>
      </c>
      <c r="BS22" s="66"/>
      <c r="BT22" s="67"/>
      <c r="BU22" s="68"/>
      <c r="BV22" s="69"/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/>
      <c r="E23" s="66"/>
      <c r="F23" s="67">
        <v>1</v>
      </c>
      <c r="G23" s="68"/>
      <c r="H23" s="69"/>
      <c r="I23" s="70"/>
      <c r="J23" s="67"/>
      <c r="K23" s="71"/>
      <c r="L23" s="68"/>
      <c r="M23" s="72"/>
      <c r="N23" s="73"/>
      <c r="O23" s="65"/>
      <c r="P23" s="66"/>
      <c r="Q23" s="67">
        <v>1</v>
      </c>
      <c r="R23" s="68"/>
      <c r="S23" s="69"/>
      <c r="T23" s="70"/>
      <c r="U23" s="67"/>
      <c r="V23" s="71"/>
      <c r="W23" s="68"/>
      <c r="X23" s="72"/>
      <c r="Y23" s="73"/>
      <c r="Z23" s="65">
        <v>1</v>
      </c>
      <c r="AA23" s="66"/>
      <c r="AB23" s="67"/>
      <c r="AC23" s="68"/>
      <c r="AD23" s="69"/>
      <c r="AE23" s="70"/>
      <c r="AF23" s="67"/>
      <c r="AG23" s="71"/>
      <c r="AH23" s="68"/>
      <c r="AI23" s="72"/>
      <c r="AJ23" s="73"/>
      <c r="AK23" s="65">
        <v>1</v>
      </c>
      <c r="AL23" s="66"/>
      <c r="AM23" s="67"/>
      <c r="AN23" s="68"/>
      <c r="AO23" s="69"/>
      <c r="AP23" s="70"/>
      <c r="AQ23" s="67"/>
      <c r="AR23" s="71"/>
      <c r="AS23" s="68"/>
      <c r="AT23" s="72"/>
      <c r="AU23" s="73"/>
      <c r="AV23" s="65">
        <v>1</v>
      </c>
      <c r="AW23" s="66"/>
      <c r="AX23" s="67"/>
      <c r="AY23" s="68"/>
      <c r="AZ23" s="69"/>
      <c r="BA23" s="70"/>
      <c r="BB23" s="67"/>
      <c r="BC23" s="71"/>
      <c r="BD23" s="68"/>
      <c r="BE23" s="72"/>
      <c r="BF23" s="73"/>
      <c r="BG23" s="65"/>
      <c r="BH23" s="66">
        <v>1</v>
      </c>
      <c r="BI23" s="67"/>
      <c r="BJ23" s="68"/>
      <c r="BK23" s="69"/>
      <c r="BL23" s="70"/>
      <c r="BM23" s="67"/>
      <c r="BN23" s="71"/>
      <c r="BO23" s="68"/>
      <c r="BP23" s="72"/>
      <c r="BQ23" s="73"/>
      <c r="BR23" s="65">
        <v>1</v>
      </c>
      <c r="BS23" s="66">
        <v>1</v>
      </c>
      <c r="BT23" s="67"/>
      <c r="BU23" s="68"/>
      <c r="BV23" s="69"/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>
        <v>1</v>
      </c>
      <c r="E24" s="66"/>
      <c r="F24" s="67">
        <v>1</v>
      </c>
      <c r="G24" s="68">
        <v>1</v>
      </c>
      <c r="H24" s="69"/>
      <c r="I24" s="70"/>
      <c r="J24" s="67"/>
      <c r="K24" s="71"/>
      <c r="L24" s="68"/>
      <c r="M24" s="72"/>
      <c r="N24" s="73"/>
      <c r="O24" s="65"/>
      <c r="P24" s="66"/>
      <c r="Q24" s="67">
        <v>1</v>
      </c>
      <c r="R24" s="68"/>
      <c r="S24" s="69"/>
      <c r="T24" s="70"/>
      <c r="U24" s="67"/>
      <c r="V24" s="71"/>
      <c r="W24" s="68"/>
      <c r="X24" s="72"/>
      <c r="Y24" s="73"/>
      <c r="Z24" s="65"/>
      <c r="AA24" s="66"/>
      <c r="AB24" s="67">
        <v>1</v>
      </c>
      <c r="AC24" s="68"/>
      <c r="AD24" s="69"/>
      <c r="AE24" s="70"/>
      <c r="AF24" s="67"/>
      <c r="AG24" s="71"/>
      <c r="AH24" s="68"/>
      <c r="AI24" s="72"/>
      <c r="AJ24" s="73"/>
      <c r="AK24" s="65"/>
      <c r="AL24" s="66"/>
      <c r="AM24" s="67">
        <v>1</v>
      </c>
      <c r="AN24" s="68"/>
      <c r="AO24" s="69"/>
      <c r="AP24" s="70"/>
      <c r="AQ24" s="67"/>
      <c r="AR24" s="71"/>
      <c r="AS24" s="68"/>
      <c r="AT24" s="72"/>
      <c r="AU24" s="73"/>
      <c r="AV24" s="65"/>
      <c r="AW24" s="66"/>
      <c r="AX24" s="67">
        <v>1</v>
      </c>
      <c r="AY24" s="68"/>
      <c r="AZ24" s="69"/>
      <c r="BA24" s="70"/>
      <c r="BB24" s="67"/>
      <c r="BC24" s="71"/>
      <c r="BD24" s="68"/>
      <c r="BE24" s="72"/>
      <c r="BF24" s="73"/>
      <c r="BG24" s="65">
        <v>1</v>
      </c>
      <c r="BH24" s="66"/>
      <c r="BI24" s="67"/>
      <c r="BJ24" s="68"/>
      <c r="BK24" s="69"/>
      <c r="BL24" s="70"/>
      <c r="BM24" s="67"/>
      <c r="BN24" s="71"/>
      <c r="BO24" s="68"/>
      <c r="BP24" s="72"/>
      <c r="BQ24" s="73"/>
      <c r="BR24" s="65">
        <v>1</v>
      </c>
      <c r="BS24" s="66">
        <v>1</v>
      </c>
      <c r="BT24" s="67"/>
      <c r="BU24" s="68"/>
      <c r="BV24" s="69"/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>
        <v>1</v>
      </c>
      <c r="E25" s="66"/>
      <c r="F25" s="67"/>
      <c r="G25" s="68"/>
      <c r="H25" s="69"/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/>
      <c r="S25" s="69"/>
      <c r="T25" s="70"/>
      <c r="U25" s="67"/>
      <c r="V25" s="71"/>
      <c r="W25" s="68"/>
      <c r="X25" s="72"/>
      <c r="Y25" s="73"/>
      <c r="Z25" s="65"/>
      <c r="AA25" s="66"/>
      <c r="AB25" s="67">
        <v>1</v>
      </c>
      <c r="AC25" s="68"/>
      <c r="AD25" s="69"/>
      <c r="AE25" s="70"/>
      <c r="AF25" s="67"/>
      <c r="AG25" s="71"/>
      <c r="AH25" s="68"/>
      <c r="AI25" s="72"/>
      <c r="AJ25" s="73"/>
      <c r="AK25" s="65">
        <v>1</v>
      </c>
      <c r="AL25" s="66"/>
      <c r="AM25" s="67">
        <v>1</v>
      </c>
      <c r="AN25" s="68"/>
      <c r="AO25" s="69"/>
      <c r="AP25" s="70"/>
      <c r="AQ25" s="67"/>
      <c r="AR25" s="71"/>
      <c r="AS25" s="68"/>
      <c r="AT25" s="72"/>
      <c r="AU25" s="73"/>
      <c r="AV25" s="65">
        <v>1</v>
      </c>
      <c r="AW25" s="66"/>
      <c r="AX25" s="67">
        <v>1</v>
      </c>
      <c r="AY25" s="68"/>
      <c r="AZ25" s="69"/>
      <c r="BA25" s="70"/>
      <c r="BB25" s="67"/>
      <c r="BC25" s="71"/>
      <c r="BD25" s="68"/>
      <c r="BE25" s="72"/>
      <c r="BF25" s="73"/>
      <c r="BG25" s="65">
        <v>1</v>
      </c>
      <c r="BH25" s="66">
        <v>1</v>
      </c>
      <c r="BI25" s="67"/>
      <c r="BJ25" s="68"/>
      <c r="BK25" s="69"/>
      <c r="BL25" s="70"/>
      <c r="BM25" s="67"/>
      <c r="BN25" s="71"/>
      <c r="BO25" s="68"/>
      <c r="BP25" s="72"/>
      <c r="BQ25" s="73"/>
      <c r="BR25" s="65">
        <v>1</v>
      </c>
      <c r="BS25" s="66">
        <v>1</v>
      </c>
      <c r="BT25" s="67"/>
      <c r="BU25" s="68"/>
      <c r="BV25" s="69"/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>
        <v>1</v>
      </c>
      <c r="E26" s="66"/>
      <c r="F26" s="67">
        <v>1</v>
      </c>
      <c r="G26" s="68"/>
      <c r="H26" s="69"/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/>
      <c r="S26" s="69"/>
      <c r="T26" s="70"/>
      <c r="U26" s="67"/>
      <c r="V26" s="71"/>
      <c r="W26" s="68"/>
      <c r="X26" s="72"/>
      <c r="Y26" s="73"/>
      <c r="Z26" s="65"/>
      <c r="AA26" s="66"/>
      <c r="AB26" s="67">
        <v>1</v>
      </c>
      <c r="AC26" s="68"/>
      <c r="AD26" s="69"/>
      <c r="AE26" s="70"/>
      <c r="AF26" s="67"/>
      <c r="AG26" s="71"/>
      <c r="AH26" s="68"/>
      <c r="AI26" s="72"/>
      <c r="AJ26" s="73"/>
      <c r="AK26" s="65">
        <v>1</v>
      </c>
      <c r="AL26" s="66"/>
      <c r="AM26" s="67">
        <v>1</v>
      </c>
      <c r="AN26" s="68"/>
      <c r="AO26" s="69"/>
      <c r="AP26" s="70"/>
      <c r="AQ26" s="67"/>
      <c r="AR26" s="71"/>
      <c r="AS26" s="68"/>
      <c r="AT26" s="72"/>
      <c r="AU26" s="73"/>
      <c r="AV26" s="65">
        <v>1</v>
      </c>
      <c r="AW26" s="66"/>
      <c r="AX26" s="67">
        <v>1</v>
      </c>
      <c r="AY26" s="68"/>
      <c r="AZ26" s="69"/>
      <c r="BA26" s="70"/>
      <c r="BB26" s="67"/>
      <c r="BC26" s="71"/>
      <c r="BD26" s="68"/>
      <c r="BE26" s="72"/>
      <c r="BF26" s="73"/>
      <c r="BG26" s="65">
        <v>1</v>
      </c>
      <c r="BH26" s="66">
        <v>1</v>
      </c>
      <c r="BI26" s="67"/>
      <c r="BJ26" s="68"/>
      <c r="BK26" s="69"/>
      <c r="BL26" s="70"/>
      <c r="BM26" s="67"/>
      <c r="BN26" s="71"/>
      <c r="BO26" s="68"/>
      <c r="BP26" s="72"/>
      <c r="BQ26" s="73"/>
      <c r="BR26" s="65">
        <v>1</v>
      </c>
      <c r="BS26" s="66">
        <v>1</v>
      </c>
      <c r="BT26" s="67"/>
      <c r="BU26" s="68"/>
      <c r="BV26" s="69"/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>
        <v>1</v>
      </c>
      <c r="E27" s="66"/>
      <c r="F27" s="67">
        <v>1</v>
      </c>
      <c r="G27" s="68"/>
      <c r="H27" s="69"/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/>
      <c r="S27" s="69"/>
      <c r="T27" s="70"/>
      <c r="U27" s="67"/>
      <c r="V27" s="71"/>
      <c r="W27" s="68"/>
      <c r="X27" s="72"/>
      <c r="Y27" s="73"/>
      <c r="Z27" s="65"/>
      <c r="AA27" s="66"/>
      <c r="AB27" s="67">
        <v>1</v>
      </c>
      <c r="AC27" s="68"/>
      <c r="AD27" s="69"/>
      <c r="AE27" s="70"/>
      <c r="AF27" s="67"/>
      <c r="AG27" s="71"/>
      <c r="AH27" s="68"/>
      <c r="AI27" s="72"/>
      <c r="AJ27" s="73"/>
      <c r="AK27" s="65">
        <v>1</v>
      </c>
      <c r="AL27" s="66"/>
      <c r="AM27" s="67">
        <v>1</v>
      </c>
      <c r="AN27" s="68"/>
      <c r="AO27" s="69"/>
      <c r="AP27" s="70"/>
      <c r="AQ27" s="67"/>
      <c r="AR27" s="71"/>
      <c r="AS27" s="68"/>
      <c r="AT27" s="72"/>
      <c r="AU27" s="73"/>
      <c r="AV27" s="65">
        <v>1</v>
      </c>
      <c r="AW27" s="66"/>
      <c r="AX27" s="67">
        <v>1</v>
      </c>
      <c r="AY27" s="68"/>
      <c r="AZ27" s="69"/>
      <c r="BA27" s="70"/>
      <c r="BB27" s="67"/>
      <c r="BC27" s="71"/>
      <c r="BD27" s="68"/>
      <c r="BE27" s="72"/>
      <c r="BF27" s="73"/>
      <c r="BG27" s="65">
        <v>1</v>
      </c>
      <c r="BH27" s="66">
        <v>1</v>
      </c>
      <c r="BI27" s="67"/>
      <c r="BJ27" s="68"/>
      <c r="BK27" s="69"/>
      <c r="BL27" s="70"/>
      <c r="BM27" s="67"/>
      <c r="BN27" s="71"/>
      <c r="BO27" s="68"/>
      <c r="BP27" s="72"/>
      <c r="BQ27" s="73"/>
      <c r="BR27" s="65">
        <v>1</v>
      </c>
      <c r="BS27" s="66">
        <v>1</v>
      </c>
      <c r="BT27" s="67"/>
      <c r="BU27" s="68"/>
      <c r="BV27" s="69"/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>
        <v>1</v>
      </c>
      <c r="E28" s="66"/>
      <c r="F28" s="67">
        <v>1</v>
      </c>
      <c r="G28" s="68"/>
      <c r="H28" s="69"/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/>
      <c r="S28" s="69"/>
      <c r="T28" s="70"/>
      <c r="U28" s="67"/>
      <c r="V28" s="71"/>
      <c r="W28" s="68"/>
      <c r="X28" s="72"/>
      <c r="Y28" s="73"/>
      <c r="Z28" s="65"/>
      <c r="AA28" s="66"/>
      <c r="AB28" s="67">
        <v>1</v>
      </c>
      <c r="AC28" s="68"/>
      <c r="AD28" s="69"/>
      <c r="AE28" s="70"/>
      <c r="AF28" s="67"/>
      <c r="AG28" s="71"/>
      <c r="AH28" s="68"/>
      <c r="AI28" s="72"/>
      <c r="AJ28" s="73"/>
      <c r="AK28" s="65">
        <v>1</v>
      </c>
      <c r="AL28" s="66"/>
      <c r="AM28" s="67">
        <v>1</v>
      </c>
      <c r="AN28" s="68"/>
      <c r="AO28" s="71"/>
      <c r="AP28" s="71"/>
      <c r="AQ28" s="71"/>
      <c r="AR28" s="71"/>
      <c r="AS28" s="68"/>
      <c r="AT28" s="72"/>
      <c r="AU28" s="73"/>
      <c r="AV28" s="65">
        <v>1</v>
      </c>
      <c r="AW28" s="66"/>
      <c r="AX28" s="67">
        <v>1</v>
      </c>
      <c r="AY28" s="68"/>
      <c r="AZ28" s="69"/>
      <c r="BA28" s="70"/>
      <c r="BB28" s="67"/>
      <c r="BC28" s="71"/>
      <c r="BD28" s="68"/>
      <c r="BE28" s="72"/>
      <c r="BF28" s="73"/>
      <c r="BG28" s="65">
        <v>1</v>
      </c>
      <c r="BH28" s="66">
        <v>1</v>
      </c>
      <c r="BI28" s="67"/>
      <c r="BJ28" s="68"/>
      <c r="BK28" s="69"/>
      <c r="BL28" s="70"/>
      <c r="BM28" s="67"/>
      <c r="BN28" s="71"/>
      <c r="BO28" s="68"/>
      <c r="BP28" s="72"/>
      <c r="BQ28" s="73"/>
      <c r="BR28" s="65">
        <v>1</v>
      </c>
      <c r="BS28" s="66">
        <v>1</v>
      </c>
      <c r="BT28" s="67"/>
      <c r="BU28" s="68"/>
      <c r="BV28" s="69"/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10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11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12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13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14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15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16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JOSE</v>
      </c>
      <c r="E33" s="31" t="str">
        <f t="shared" si="0"/>
        <v>ANAHY</v>
      </c>
      <c r="F33" s="32" t="str">
        <f t="shared" si="0"/>
        <v xml:space="preserve">JHOSELYN </v>
      </c>
      <c r="G33" s="33" t="str">
        <f t="shared" si="0"/>
        <v>YENI</v>
      </c>
      <c r="H33" s="34">
        <f t="shared" si="0"/>
        <v>0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JOSE</v>
      </c>
      <c r="P33" s="31" t="str">
        <f t="shared" si="1"/>
        <v>ANAHY</v>
      </c>
      <c r="Q33" s="32" t="str">
        <f t="shared" si="1"/>
        <v xml:space="preserve">JHOSELYN </v>
      </c>
      <c r="R33" s="33">
        <f t="shared" si="1"/>
        <v>0</v>
      </c>
      <c r="S33" s="34">
        <f t="shared" si="1"/>
        <v>0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JOSE</v>
      </c>
      <c r="AA33" s="31" t="str">
        <f t="shared" si="2"/>
        <v>ANAHY</v>
      </c>
      <c r="AB33" s="32" t="str">
        <f t="shared" si="2"/>
        <v xml:space="preserve">JHOSELYN </v>
      </c>
      <c r="AC33" s="33">
        <f t="shared" si="2"/>
        <v>0</v>
      </c>
      <c r="AD33" s="34">
        <f t="shared" si="2"/>
        <v>0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JOSE</v>
      </c>
      <c r="AL33" s="31" t="str">
        <f t="shared" si="3"/>
        <v>ANAHY</v>
      </c>
      <c r="AM33" s="32" t="str">
        <f t="shared" si="3"/>
        <v xml:space="preserve">JHOSELYN </v>
      </c>
      <c r="AN33" s="33">
        <f t="shared" si="3"/>
        <v>0</v>
      </c>
      <c r="AO33" s="34">
        <f t="shared" si="3"/>
        <v>0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JOSE</v>
      </c>
      <c r="AW33" s="31" t="str">
        <f t="shared" si="4"/>
        <v>ANAHY</v>
      </c>
      <c r="AX33" s="32" t="str">
        <f t="shared" si="4"/>
        <v xml:space="preserve">JHOSELYN </v>
      </c>
      <c r="AY33" s="33">
        <f t="shared" si="4"/>
        <v>0</v>
      </c>
      <c r="AZ33" s="34">
        <f t="shared" si="4"/>
        <v>0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JOSE</v>
      </c>
      <c r="BH33" s="31" t="str">
        <f t="shared" si="5"/>
        <v>ANAHY</v>
      </c>
      <c r="BI33" s="32" t="str">
        <f t="shared" si="5"/>
        <v xml:space="preserve">JHOSELYN </v>
      </c>
      <c r="BJ33" s="33">
        <f t="shared" si="5"/>
        <v>0</v>
      </c>
      <c r="BK33" s="34">
        <f t="shared" si="5"/>
        <v>0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JOSE</v>
      </c>
      <c r="BS33" s="31" t="str">
        <f t="shared" si="6"/>
        <v>ANAHY</v>
      </c>
      <c r="BT33" s="32" t="str">
        <f t="shared" si="6"/>
        <v xml:space="preserve">JHOSELYN </v>
      </c>
      <c r="BU33" s="33">
        <f t="shared" si="6"/>
        <v>0</v>
      </c>
      <c r="BV33" s="34">
        <f t="shared" si="6"/>
        <v>0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5</v>
      </c>
      <c r="E34" s="48">
        <f t="shared" ref="E34:M34" si="7">SUM(E7:E30)</f>
        <v>5</v>
      </c>
      <c r="F34" s="49">
        <f t="shared" si="7"/>
        <v>6</v>
      </c>
      <c r="G34" s="50">
        <f t="shared" si="7"/>
        <v>4</v>
      </c>
      <c r="H34" s="51">
        <f t="shared" si="7"/>
        <v>0</v>
      </c>
      <c r="I34" s="52">
        <f t="shared" si="7"/>
        <v>0</v>
      </c>
      <c r="J34" s="49">
        <f t="shared" si="7"/>
        <v>0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0</v>
      </c>
      <c r="P34" s="48">
        <f t="shared" si="8"/>
        <v>5</v>
      </c>
      <c r="Q34" s="49">
        <f t="shared" si="8"/>
        <v>8</v>
      </c>
      <c r="R34" s="50">
        <f t="shared" si="8"/>
        <v>0</v>
      </c>
      <c r="S34" s="51">
        <f t="shared" si="8"/>
        <v>0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6</v>
      </c>
      <c r="AA34" s="48">
        <f t="shared" si="9"/>
        <v>0</v>
      </c>
      <c r="AB34" s="49">
        <f t="shared" si="9"/>
        <v>7</v>
      </c>
      <c r="AC34" s="50">
        <f t="shared" si="9"/>
        <v>0</v>
      </c>
      <c r="AD34" s="51">
        <f t="shared" si="9"/>
        <v>0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5</v>
      </c>
      <c r="AL34" s="48">
        <f t="shared" si="10"/>
        <v>5</v>
      </c>
      <c r="AM34" s="49">
        <f t="shared" si="10"/>
        <v>6</v>
      </c>
      <c r="AN34" s="50">
        <f t="shared" si="10"/>
        <v>0</v>
      </c>
      <c r="AO34" s="51">
        <f t="shared" si="10"/>
        <v>0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5</v>
      </c>
      <c r="AW34" s="48">
        <f t="shared" si="11"/>
        <v>5</v>
      </c>
      <c r="AX34" s="49">
        <f t="shared" si="11"/>
        <v>6</v>
      </c>
      <c r="AY34" s="50">
        <f t="shared" si="11"/>
        <v>0</v>
      </c>
      <c r="AZ34" s="51">
        <f t="shared" si="11"/>
        <v>0</v>
      </c>
      <c r="BA34" s="52">
        <f t="shared" si="11"/>
        <v>0.5</v>
      </c>
      <c r="BB34" s="49">
        <f t="shared" si="11"/>
        <v>0.5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5</v>
      </c>
      <c r="BH34" s="48">
        <f t="shared" si="12"/>
        <v>7</v>
      </c>
      <c r="BI34" s="49">
        <f t="shared" si="12"/>
        <v>4</v>
      </c>
      <c r="BJ34" s="50">
        <f t="shared" si="12"/>
        <v>0</v>
      </c>
      <c r="BK34" s="51">
        <f t="shared" si="12"/>
        <v>0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11</v>
      </c>
      <c r="BS34" s="48">
        <f t="shared" si="13"/>
        <v>7</v>
      </c>
      <c r="BT34" s="49">
        <f t="shared" si="13"/>
        <v>0</v>
      </c>
      <c r="BU34" s="50">
        <f t="shared" si="13"/>
        <v>0</v>
      </c>
      <c r="BV34" s="51">
        <f t="shared" si="13"/>
        <v>0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45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37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47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34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46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37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 t="s">
        <v>49</v>
      </c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4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/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0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0.5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0.5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41:J41"/>
    <mergeCell ref="L41:N41"/>
    <mergeCell ref="B42:J42"/>
    <mergeCell ref="L42:N42"/>
    <mergeCell ref="B43:J43"/>
    <mergeCell ref="L43:N43"/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</mergeCells>
  <conditionalFormatting sqref="D7:M14 D29:M30">
    <cfRule type="expression" dxfId="51" priority="13">
      <formula>IF(OR(D7=0,D7=""),TRUE(),FALSE())</formula>
    </cfRule>
  </conditionalFormatting>
  <conditionalFormatting sqref="BG16:BN16 BP16 BG15:BP15 D15:M28 BG17:BP28">
    <cfRule type="expression" dxfId="50" priority="12">
      <formula>IF(OR(D15=0,D15=""),TRUE(),FALSE())</formula>
    </cfRule>
  </conditionalFormatting>
  <conditionalFormatting sqref="O7:X14 O29:X30">
    <cfRule type="expression" dxfId="49" priority="11">
      <formula>IF(OR(O7=0,O7=""),TRUE(),FALSE())</formula>
    </cfRule>
  </conditionalFormatting>
  <conditionalFormatting sqref="O15:X28">
    <cfRule type="expression" dxfId="48" priority="10">
      <formula>IF(OR(O15=0,O15=""),TRUE(),FALSE())</formula>
    </cfRule>
  </conditionalFormatting>
  <conditionalFormatting sqref="Z7:AI14 Z29:AI30">
    <cfRule type="expression" dxfId="47" priority="9">
      <formula>IF(OR(Z7=0,Z7=""),TRUE(),FALSE())</formula>
    </cfRule>
  </conditionalFormatting>
  <conditionalFormatting sqref="Z15:AI28">
    <cfRule type="expression" dxfId="46" priority="8">
      <formula>IF(OR(Z15=0,Z15=""),TRUE(),FALSE())</formula>
    </cfRule>
  </conditionalFormatting>
  <conditionalFormatting sqref="AK7:AT14 AK29:AT30">
    <cfRule type="expression" dxfId="45" priority="7">
      <formula>IF(OR(AK7=0,AK7=""),TRUE(),FALSE())</formula>
    </cfRule>
  </conditionalFormatting>
  <conditionalFormatting sqref="AK15:AT28">
    <cfRule type="expression" dxfId="44" priority="6">
      <formula>IF(OR(AK15=0,AK15=""),TRUE(),FALSE())</formula>
    </cfRule>
  </conditionalFormatting>
  <conditionalFormatting sqref="AV7:BE14 AV29:BE30">
    <cfRule type="expression" dxfId="43" priority="5">
      <formula>IF(OR(AV7=0,AV7=""),TRUE(),FALSE())</formula>
    </cfRule>
  </conditionalFormatting>
  <conditionalFormatting sqref="AV15:BE28">
    <cfRule type="expression" dxfId="42" priority="4">
      <formula>IF(OR(AV15=0,AV15=""),TRUE(),FALSE())</formula>
    </cfRule>
  </conditionalFormatting>
  <conditionalFormatting sqref="BG7:BP14 BG29:BP30">
    <cfRule type="expression" dxfId="41" priority="3">
      <formula>IF(OR(BG7=0,BG7=""),TRUE(),FALSE())</formula>
    </cfRule>
  </conditionalFormatting>
  <conditionalFormatting sqref="BR7:CA14 BR29:CA30">
    <cfRule type="expression" dxfId="40" priority="2">
      <formula>IF(OR(BR7=0,BR7=""),TRUE(),FALSE())</formula>
    </cfRule>
  </conditionalFormatting>
  <conditionalFormatting sqref="BR15:CA28">
    <cfRule type="expression" dxfId="39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R7:CA30 BG7:BP15 BG17:BP30 BG16:BN16 BP16" xr:uid="{6884CAC6-A574-4432-A781-408DE8B111C7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6C726-2A3A-4AF4-8F48-AD8E9A974F43}">
  <sheetPr codeName="Hoja26"/>
  <dimension ref="A1:CA48"/>
  <sheetViews>
    <sheetView showGridLines="0" topLeftCell="C13" zoomScale="85" zoomScaleNormal="85" workbookViewId="0">
      <selection activeCell="BV26" sqref="BV26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17 DE AGOSTO AL 23 DE AGOSTO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46251</v>
      </c>
      <c r="D5" s="63" t="str">
        <f>CONCATENATE("Lunes ",TEXT(DAY(C5),"00"))</f>
        <v>Lunes 17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18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19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20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21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22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23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44</v>
      </c>
      <c r="E6" s="9" t="s">
        <v>33</v>
      </c>
      <c r="F6" s="10" t="s">
        <v>43</v>
      </c>
      <c r="G6" s="11"/>
      <c r="H6" s="12"/>
      <c r="I6" s="13"/>
      <c r="J6" s="10"/>
      <c r="K6" s="14"/>
      <c r="L6" s="11"/>
      <c r="M6" s="15"/>
      <c r="O6" s="8" t="str">
        <f>D6</f>
        <v>JOSE</v>
      </c>
      <c r="P6" s="9" t="str">
        <f>E6</f>
        <v>ANAHY</v>
      </c>
      <c r="Q6" s="10" t="str">
        <f>F6</f>
        <v xml:space="preserve">JHOSELYN </v>
      </c>
      <c r="R6" s="11"/>
      <c r="S6" s="12"/>
      <c r="T6" s="13"/>
      <c r="U6" s="10"/>
      <c r="V6" s="14"/>
      <c r="W6" s="11"/>
      <c r="X6" s="15"/>
      <c r="Z6" s="8" t="str">
        <f>O6</f>
        <v>JOSE</v>
      </c>
      <c r="AA6" s="9" t="s">
        <v>33</v>
      </c>
      <c r="AB6" s="10" t="str">
        <f>Q6</f>
        <v xml:space="preserve">JHOSELYN </v>
      </c>
      <c r="AC6" s="11"/>
      <c r="AD6" s="12"/>
      <c r="AE6" s="13"/>
      <c r="AF6" s="10"/>
      <c r="AG6" s="14"/>
      <c r="AH6" s="11"/>
      <c r="AI6" s="15"/>
      <c r="AK6" s="8" t="str">
        <f>Z6</f>
        <v>JOSE</v>
      </c>
      <c r="AL6" s="9" t="str">
        <f>AA6</f>
        <v>ANAHY</v>
      </c>
      <c r="AM6" s="10" t="str">
        <f>Q6</f>
        <v xml:space="preserve">JHOSELYN </v>
      </c>
      <c r="AN6" s="11"/>
      <c r="AO6" s="12"/>
      <c r="AP6" s="13"/>
      <c r="AQ6" s="10"/>
      <c r="AR6" s="14"/>
      <c r="AS6" s="11"/>
      <c r="AT6" s="15"/>
      <c r="AV6" s="8" t="str">
        <f>AK6</f>
        <v>JOSE</v>
      </c>
      <c r="AW6" s="9" t="s">
        <v>33</v>
      </c>
      <c r="AX6" s="10" t="str">
        <f>AB6</f>
        <v xml:space="preserve">JHOSELYN </v>
      </c>
      <c r="AY6" s="11"/>
      <c r="AZ6" s="12"/>
      <c r="BA6" s="13"/>
      <c r="BB6" s="10"/>
      <c r="BC6" s="14"/>
      <c r="BD6" s="11"/>
      <c r="BE6" s="15"/>
      <c r="BG6" s="8" t="str">
        <f>AV6</f>
        <v>JOSE</v>
      </c>
      <c r="BH6" s="9" t="s">
        <v>33</v>
      </c>
      <c r="BI6" s="10" t="str">
        <f>AX6</f>
        <v xml:space="preserve">JHOSELYN </v>
      </c>
      <c r="BJ6" s="11"/>
      <c r="BK6" s="12"/>
      <c r="BL6" s="13"/>
      <c r="BM6" s="10"/>
      <c r="BN6" s="14"/>
      <c r="BO6" s="11"/>
      <c r="BP6" s="15"/>
      <c r="BR6" s="8" t="str">
        <f>AV6</f>
        <v>JOSE</v>
      </c>
      <c r="BS6" s="9" t="str">
        <f>BH6</f>
        <v>ANAHY</v>
      </c>
      <c r="BT6" s="10" t="str">
        <f>AX6</f>
        <v xml:space="preserve">JHOSELYN </v>
      </c>
      <c r="BU6" s="11"/>
      <c r="BV6" s="12"/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>
        <v>0.5</v>
      </c>
      <c r="BB14" s="18">
        <v>0.5</v>
      </c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/>
      <c r="H15" s="69"/>
      <c r="I15" s="70"/>
      <c r="J15" s="67"/>
      <c r="K15" s="71"/>
      <c r="L15" s="68"/>
      <c r="M15" s="72"/>
      <c r="N15" s="73"/>
      <c r="O15" s="65"/>
      <c r="P15" s="66"/>
      <c r="Q15" s="67"/>
      <c r="R15" s="68"/>
      <c r="S15" s="69"/>
      <c r="T15" s="70"/>
      <c r="U15" s="67"/>
      <c r="V15" s="71"/>
      <c r="W15" s="68"/>
      <c r="X15" s="72"/>
      <c r="Y15" s="73"/>
      <c r="Z15" s="65"/>
      <c r="AA15" s="66"/>
      <c r="AB15" s="67"/>
      <c r="AC15" s="68"/>
      <c r="AD15" s="69"/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/>
      <c r="BI15" s="67"/>
      <c r="BJ15" s="68"/>
      <c r="BK15" s="68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/>
      <c r="F16" s="67"/>
      <c r="G16" s="68"/>
      <c r="H16" s="69"/>
      <c r="I16" s="70"/>
      <c r="J16" s="67"/>
      <c r="K16" s="71"/>
      <c r="L16" s="68"/>
      <c r="M16" s="72"/>
      <c r="N16" s="73"/>
      <c r="O16" s="65"/>
      <c r="P16" s="66"/>
      <c r="Q16" s="67"/>
      <c r="R16" s="68"/>
      <c r="S16" s="69"/>
      <c r="T16" s="70"/>
      <c r="U16" s="67"/>
      <c r="V16" s="71"/>
      <c r="W16" s="68"/>
      <c r="X16" s="72"/>
      <c r="Y16" s="73"/>
      <c r="Z16" s="65"/>
      <c r="AA16" s="66"/>
      <c r="AB16" s="67"/>
      <c r="AC16" s="68"/>
      <c r="AD16" s="69"/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9"/>
      <c r="BI16" s="67"/>
      <c r="BJ16" s="68"/>
      <c r="BK16" s="69"/>
      <c r="BL16" s="70"/>
      <c r="BM16" s="67"/>
      <c r="BN16" s="71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>
        <v>1</v>
      </c>
      <c r="F17" s="67"/>
      <c r="G17" s="68"/>
      <c r="H17" s="69"/>
      <c r="I17" s="70"/>
      <c r="J17" s="67"/>
      <c r="K17" s="71"/>
      <c r="L17" s="68"/>
      <c r="M17" s="72"/>
      <c r="N17" s="73"/>
      <c r="O17" s="65"/>
      <c r="P17" s="66">
        <v>1</v>
      </c>
      <c r="Q17" s="67"/>
      <c r="R17" s="68"/>
      <c r="S17" s="69"/>
      <c r="T17" s="70"/>
      <c r="U17" s="67"/>
      <c r="V17" s="71"/>
      <c r="W17" s="68"/>
      <c r="X17" s="72"/>
      <c r="Y17" s="73"/>
      <c r="Z17" s="65">
        <v>1</v>
      </c>
      <c r="AA17" s="66"/>
      <c r="AB17" s="67"/>
      <c r="AC17" s="68"/>
      <c r="AD17" s="69"/>
      <c r="AE17" s="70"/>
      <c r="AF17" s="67"/>
      <c r="AG17" s="71"/>
      <c r="AH17" s="68"/>
      <c r="AI17" s="72"/>
      <c r="AJ17" s="73"/>
      <c r="AK17" s="65"/>
      <c r="AL17" s="66">
        <v>1</v>
      </c>
      <c r="AM17" s="67"/>
      <c r="AN17" s="68"/>
      <c r="AO17" s="69"/>
      <c r="AP17" s="70"/>
      <c r="AQ17" s="67"/>
      <c r="AR17" s="71"/>
      <c r="AS17" s="68"/>
      <c r="AT17" s="72"/>
      <c r="AU17" s="73"/>
      <c r="AV17" s="65"/>
      <c r="AW17" s="66">
        <v>1</v>
      </c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>
        <v>1</v>
      </c>
      <c r="BI17" s="67"/>
      <c r="BJ17" s="68"/>
      <c r="BK17" s="69"/>
      <c r="BL17" s="70"/>
      <c r="BM17" s="67"/>
      <c r="BN17" s="71"/>
      <c r="BO17" s="68"/>
      <c r="BP17" s="72"/>
      <c r="BQ17" s="73"/>
      <c r="BR17" s="65">
        <v>1</v>
      </c>
      <c r="BS17" s="66"/>
      <c r="BT17" s="67"/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>
        <v>1</v>
      </c>
      <c r="F18" s="67"/>
      <c r="G18" s="68"/>
      <c r="H18" s="69"/>
      <c r="I18" s="70"/>
      <c r="J18" s="67"/>
      <c r="K18" s="71"/>
      <c r="L18" s="68"/>
      <c r="M18" s="72"/>
      <c r="N18" s="73"/>
      <c r="O18" s="65"/>
      <c r="P18" s="66">
        <v>1</v>
      </c>
      <c r="Q18" s="67"/>
      <c r="R18" s="68"/>
      <c r="S18" s="69"/>
      <c r="T18" s="70"/>
      <c r="U18" s="67"/>
      <c r="V18" s="71"/>
      <c r="W18" s="68"/>
      <c r="X18" s="72"/>
      <c r="Y18" s="73"/>
      <c r="Z18" s="65">
        <v>1</v>
      </c>
      <c r="AA18" s="66"/>
      <c r="AB18" s="67"/>
      <c r="AC18" s="68"/>
      <c r="AD18" s="69"/>
      <c r="AE18" s="70"/>
      <c r="AF18" s="67"/>
      <c r="AG18" s="71"/>
      <c r="AH18" s="68"/>
      <c r="AI18" s="72"/>
      <c r="AJ18" s="73"/>
      <c r="AK18" s="65"/>
      <c r="AL18" s="66">
        <v>1</v>
      </c>
      <c r="AM18" s="67"/>
      <c r="AN18" s="68"/>
      <c r="AO18" s="69"/>
      <c r="AP18" s="70"/>
      <c r="AQ18" s="67"/>
      <c r="AR18" s="71"/>
      <c r="AS18" s="68"/>
      <c r="AT18" s="72"/>
      <c r="AU18" s="73"/>
      <c r="AV18" s="65"/>
      <c r="AW18" s="66">
        <v>1</v>
      </c>
      <c r="AX18" s="67"/>
      <c r="AY18" s="68"/>
      <c r="AZ18" s="69"/>
      <c r="BA18" s="70"/>
      <c r="BB18" s="67"/>
      <c r="BC18" s="71"/>
      <c r="BD18" s="68"/>
      <c r="BE18" s="72"/>
      <c r="BF18" s="73"/>
      <c r="BG18" s="65"/>
      <c r="BH18" s="66">
        <v>1</v>
      </c>
      <c r="BI18" s="67"/>
      <c r="BJ18" s="68"/>
      <c r="BK18" s="69"/>
      <c r="BL18" s="70"/>
      <c r="BM18" s="67"/>
      <c r="BN18" s="71"/>
      <c r="BO18" s="68"/>
      <c r="BP18" s="72"/>
      <c r="BQ18" s="73"/>
      <c r="BR18" s="65">
        <v>1</v>
      </c>
      <c r="BS18" s="66"/>
      <c r="BT18" s="67"/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>
        <v>1</v>
      </c>
      <c r="F19" s="67"/>
      <c r="G19" s="68"/>
      <c r="H19" s="69"/>
      <c r="I19" s="70"/>
      <c r="J19" s="67"/>
      <c r="K19" s="71"/>
      <c r="L19" s="68"/>
      <c r="M19" s="72"/>
      <c r="N19" s="73"/>
      <c r="O19" s="65"/>
      <c r="P19" s="66">
        <v>1</v>
      </c>
      <c r="Q19" s="67"/>
      <c r="R19" s="68"/>
      <c r="S19" s="69"/>
      <c r="T19" s="70"/>
      <c r="U19" s="67"/>
      <c r="V19" s="71"/>
      <c r="W19" s="68"/>
      <c r="X19" s="72"/>
      <c r="Y19" s="73"/>
      <c r="Z19" s="65">
        <v>1</v>
      </c>
      <c r="AA19" s="66"/>
      <c r="AB19" s="67"/>
      <c r="AC19" s="68"/>
      <c r="AD19" s="69"/>
      <c r="AE19" s="70"/>
      <c r="AF19" s="67"/>
      <c r="AG19" s="71"/>
      <c r="AH19" s="68"/>
      <c r="AI19" s="72"/>
      <c r="AJ19" s="73"/>
      <c r="AK19" s="65"/>
      <c r="AL19" s="66">
        <v>1</v>
      </c>
      <c r="AM19" s="67"/>
      <c r="AN19" s="68"/>
      <c r="AO19" s="69"/>
      <c r="AP19" s="70"/>
      <c r="AQ19" s="67"/>
      <c r="AR19" s="71"/>
      <c r="AS19" s="68"/>
      <c r="AT19" s="72"/>
      <c r="AU19" s="73"/>
      <c r="AV19" s="65"/>
      <c r="AW19" s="66">
        <v>1</v>
      </c>
      <c r="AX19" s="67"/>
      <c r="AY19" s="68"/>
      <c r="AZ19" s="69"/>
      <c r="BA19" s="70"/>
      <c r="BB19" s="67"/>
      <c r="BC19" s="71"/>
      <c r="BD19" s="68"/>
      <c r="BE19" s="72"/>
      <c r="BF19" s="73"/>
      <c r="BG19" s="65"/>
      <c r="BH19" s="66">
        <v>1</v>
      </c>
      <c r="BI19" s="67"/>
      <c r="BJ19" s="68"/>
      <c r="BK19" s="69"/>
      <c r="BL19" s="70"/>
      <c r="BM19" s="67"/>
      <c r="BN19" s="71"/>
      <c r="BO19" s="68"/>
      <c r="BP19" s="72"/>
      <c r="BQ19" s="73"/>
      <c r="BR19" s="65">
        <v>1</v>
      </c>
      <c r="BS19" s="66"/>
      <c r="BT19" s="67"/>
      <c r="BU19" s="68"/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>
        <v>1</v>
      </c>
      <c r="F20" s="67"/>
      <c r="G20" s="68"/>
      <c r="H20" s="69"/>
      <c r="I20" s="70"/>
      <c r="J20" s="67"/>
      <c r="K20" s="71"/>
      <c r="L20" s="68"/>
      <c r="M20" s="72"/>
      <c r="N20" s="74"/>
      <c r="O20" s="65"/>
      <c r="P20" s="66">
        <v>1</v>
      </c>
      <c r="Q20" s="67"/>
      <c r="R20" s="68"/>
      <c r="S20" s="69"/>
      <c r="T20" s="70"/>
      <c r="U20" s="67"/>
      <c r="V20" s="71"/>
      <c r="W20" s="68"/>
      <c r="X20" s="72"/>
      <c r="Y20" s="74"/>
      <c r="Z20" s="65">
        <v>1</v>
      </c>
      <c r="AA20" s="66"/>
      <c r="AB20" s="67"/>
      <c r="AC20" s="68"/>
      <c r="AD20" s="69"/>
      <c r="AE20" s="70"/>
      <c r="AF20" s="67"/>
      <c r="AG20" s="71"/>
      <c r="AH20" s="68"/>
      <c r="AI20" s="72"/>
      <c r="AJ20" s="74"/>
      <c r="AK20" s="65"/>
      <c r="AL20" s="66">
        <v>1</v>
      </c>
      <c r="AM20" s="67"/>
      <c r="AN20" s="68"/>
      <c r="AO20" s="69"/>
      <c r="AP20" s="70"/>
      <c r="AQ20" s="67"/>
      <c r="AR20" s="71"/>
      <c r="AS20" s="68"/>
      <c r="AT20" s="72"/>
      <c r="AU20" s="74"/>
      <c r="AV20" s="65"/>
      <c r="AW20" s="66">
        <v>1</v>
      </c>
      <c r="AX20" s="67"/>
      <c r="AY20" s="68"/>
      <c r="AZ20" s="69"/>
      <c r="BA20" s="70"/>
      <c r="BB20" s="67"/>
      <c r="BC20" s="71"/>
      <c r="BD20" s="68"/>
      <c r="BE20" s="72"/>
      <c r="BF20" s="74"/>
      <c r="BG20" s="65"/>
      <c r="BH20" s="66">
        <v>1</v>
      </c>
      <c r="BI20" s="67"/>
      <c r="BJ20" s="68"/>
      <c r="BK20" s="69"/>
      <c r="BL20" s="70"/>
      <c r="BM20" s="67"/>
      <c r="BN20" s="71"/>
      <c r="BO20" s="68"/>
      <c r="BP20" s="72"/>
      <c r="BQ20" s="74"/>
      <c r="BR20" s="65">
        <v>1</v>
      </c>
      <c r="BS20" s="66"/>
      <c r="BT20" s="67"/>
      <c r="BU20" s="68"/>
      <c r="BV20" s="69"/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>
        <v>1</v>
      </c>
      <c r="F21" s="67"/>
      <c r="G21" s="68"/>
      <c r="H21" s="69"/>
      <c r="I21" s="70"/>
      <c r="J21" s="67"/>
      <c r="K21" s="71"/>
      <c r="L21" s="68"/>
      <c r="M21" s="72"/>
      <c r="N21" s="73"/>
      <c r="O21" s="65"/>
      <c r="P21" s="66">
        <v>1</v>
      </c>
      <c r="Q21" s="67"/>
      <c r="R21" s="68"/>
      <c r="S21" s="69"/>
      <c r="T21" s="70"/>
      <c r="U21" s="67"/>
      <c r="V21" s="71"/>
      <c r="W21" s="68"/>
      <c r="X21" s="72"/>
      <c r="Y21" s="73"/>
      <c r="Z21" s="65">
        <v>1</v>
      </c>
      <c r="AA21" s="66"/>
      <c r="AB21" s="67"/>
      <c r="AC21" s="68"/>
      <c r="AD21" s="69"/>
      <c r="AE21" s="70"/>
      <c r="AF21" s="67"/>
      <c r="AG21" s="71"/>
      <c r="AH21" s="68"/>
      <c r="AI21" s="72"/>
      <c r="AJ21" s="73"/>
      <c r="AK21" s="65"/>
      <c r="AL21" s="66">
        <v>1</v>
      </c>
      <c r="AM21" s="67"/>
      <c r="AN21" s="68"/>
      <c r="AO21" s="69"/>
      <c r="AP21" s="70"/>
      <c r="AQ21" s="67"/>
      <c r="AR21" s="71"/>
      <c r="AS21" s="68"/>
      <c r="AT21" s="72"/>
      <c r="AU21" s="73"/>
      <c r="AV21" s="65"/>
      <c r="AW21" s="66">
        <v>1</v>
      </c>
      <c r="AX21" s="67"/>
      <c r="AY21" s="68"/>
      <c r="AZ21" s="69"/>
      <c r="BA21" s="70"/>
      <c r="BB21" s="67"/>
      <c r="BC21" s="71"/>
      <c r="BD21" s="68"/>
      <c r="BE21" s="72"/>
      <c r="BF21" s="73"/>
      <c r="BG21" s="65"/>
      <c r="BH21" s="66">
        <v>1</v>
      </c>
      <c r="BI21" s="67"/>
      <c r="BJ21" s="68"/>
      <c r="BK21" s="69"/>
      <c r="BL21" s="70"/>
      <c r="BM21" s="67"/>
      <c r="BN21" s="71"/>
      <c r="BO21" s="68"/>
      <c r="BP21" s="72"/>
      <c r="BQ21" s="73"/>
      <c r="BR21" s="65"/>
      <c r="BS21" s="66">
        <v>1</v>
      </c>
      <c r="BT21" s="67"/>
      <c r="BU21" s="68"/>
      <c r="BV21" s="69"/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>
        <v>1</v>
      </c>
      <c r="G22" s="68"/>
      <c r="H22" s="69"/>
      <c r="I22" s="70"/>
      <c r="J22" s="67"/>
      <c r="K22" s="71"/>
      <c r="L22" s="68"/>
      <c r="M22" s="72"/>
      <c r="N22" s="73"/>
      <c r="O22" s="65"/>
      <c r="P22" s="66">
        <v>1</v>
      </c>
      <c r="Q22" s="67"/>
      <c r="R22" s="68"/>
      <c r="S22" s="69"/>
      <c r="T22" s="70"/>
      <c r="U22" s="67"/>
      <c r="V22" s="71"/>
      <c r="W22" s="68"/>
      <c r="X22" s="72"/>
      <c r="Y22" s="73"/>
      <c r="Z22" s="65">
        <v>1</v>
      </c>
      <c r="AA22" s="66"/>
      <c r="AB22" s="67"/>
      <c r="AC22" s="68"/>
      <c r="AD22" s="69"/>
      <c r="AE22" s="70"/>
      <c r="AF22" s="67"/>
      <c r="AG22" s="71"/>
      <c r="AH22" s="68"/>
      <c r="AI22" s="72"/>
      <c r="AJ22" s="73"/>
      <c r="AK22" s="65"/>
      <c r="AL22" s="66"/>
      <c r="AM22" s="67">
        <v>1</v>
      </c>
      <c r="AN22" s="68"/>
      <c r="AO22" s="69"/>
      <c r="AP22" s="70"/>
      <c r="AQ22" s="67"/>
      <c r="AR22" s="71"/>
      <c r="AS22" s="68"/>
      <c r="AT22" s="72"/>
      <c r="AU22" s="73"/>
      <c r="AV22" s="65">
        <v>1</v>
      </c>
      <c r="AW22" s="66"/>
      <c r="AX22" s="67"/>
      <c r="AY22" s="68"/>
      <c r="AZ22" s="69"/>
      <c r="BA22" s="70"/>
      <c r="BB22" s="67"/>
      <c r="BC22" s="71"/>
      <c r="BD22" s="68"/>
      <c r="BE22" s="72"/>
      <c r="BF22" s="73"/>
      <c r="BG22" s="65"/>
      <c r="BH22" s="66"/>
      <c r="BI22" s="67">
        <v>1</v>
      </c>
      <c r="BJ22" s="68"/>
      <c r="BK22" s="69"/>
      <c r="BL22" s="70"/>
      <c r="BM22" s="67"/>
      <c r="BN22" s="71"/>
      <c r="BO22" s="68"/>
      <c r="BP22" s="72"/>
      <c r="BQ22" s="73"/>
      <c r="BR22" s="65">
        <v>1</v>
      </c>
      <c r="BS22" s="66"/>
      <c r="BT22" s="67"/>
      <c r="BU22" s="68"/>
      <c r="BV22" s="69"/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/>
      <c r="E23" s="66"/>
      <c r="F23" s="67">
        <v>1</v>
      </c>
      <c r="G23" s="68"/>
      <c r="H23" s="69"/>
      <c r="I23" s="70"/>
      <c r="J23" s="67"/>
      <c r="K23" s="71"/>
      <c r="L23" s="68"/>
      <c r="M23" s="72"/>
      <c r="N23" s="73"/>
      <c r="O23" s="65"/>
      <c r="P23" s="66"/>
      <c r="Q23" s="67">
        <v>1</v>
      </c>
      <c r="R23" s="68"/>
      <c r="S23" s="69"/>
      <c r="T23" s="70"/>
      <c r="U23" s="67"/>
      <c r="V23" s="71"/>
      <c r="W23" s="68"/>
      <c r="X23" s="72"/>
      <c r="Y23" s="73"/>
      <c r="Z23" s="65"/>
      <c r="AA23" s="66"/>
      <c r="AB23" s="67">
        <v>1</v>
      </c>
      <c r="AC23" s="68"/>
      <c r="AD23" s="69"/>
      <c r="AE23" s="70"/>
      <c r="AF23" s="67"/>
      <c r="AG23" s="71"/>
      <c r="AH23" s="68"/>
      <c r="AI23" s="72"/>
      <c r="AJ23" s="73"/>
      <c r="AK23" s="65"/>
      <c r="AL23" s="66"/>
      <c r="AM23" s="67">
        <v>1</v>
      </c>
      <c r="AN23" s="68"/>
      <c r="AO23" s="69"/>
      <c r="AP23" s="70"/>
      <c r="AQ23" s="67"/>
      <c r="AR23" s="71"/>
      <c r="AS23" s="68"/>
      <c r="AT23" s="72"/>
      <c r="AU23" s="73"/>
      <c r="AV23" s="65">
        <v>1</v>
      </c>
      <c r="AW23" s="66"/>
      <c r="AX23" s="67"/>
      <c r="AY23" s="68"/>
      <c r="AZ23" s="69"/>
      <c r="BA23" s="70"/>
      <c r="BB23" s="67"/>
      <c r="BC23" s="71"/>
      <c r="BD23" s="68"/>
      <c r="BE23" s="72"/>
      <c r="BF23" s="73"/>
      <c r="BG23" s="65">
        <v>1</v>
      </c>
      <c r="BH23" s="66"/>
      <c r="BI23" s="67"/>
      <c r="BJ23" s="68"/>
      <c r="BK23" s="69"/>
      <c r="BL23" s="70"/>
      <c r="BM23" s="67"/>
      <c r="BN23" s="71"/>
      <c r="BO23" s="68"/>
      <c r="BP23" s="72"/>
      <c r="BQ23" s="73"/>
      <c r="BR23" s="65">
        <v>1</v>
      </c>
      <c r="BS23" s="66">
        <v>1</v>
      </c>
      <c r="BT23" s="67"/>
      <c r="BU23" s="68"/>
      <c r="BV23" s="69"/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/>
      <c r="E24" s="66"/>
      <c r="F24" s="67">
        <v>1</v>
      </c>
      <c r="G24" s="68"/>
      <c r="H24" s="69"/>
      <c r="I24" s="70"/>
      <c r="J24" s="67"/>
      <c r="K24" s="71"/>
      <c r="L24" s="68"/>
      <c r="M24" s="72"/>
      <c r="N24" s="73"/>
      <c r="O24" s="65"/>
      <c r="P24" s="66">
        <v>1</v>
      </c>
      <c r="Q24" s="67"/>
      <c r="R24" s="68"/>
      <c r="S24" s="69"/>
      <c r="T24" s="70"/>
      <c r="U24" s="67"/>
      <c r="V24" s="71"/>
      <c r="W24" s="68"/>
      <c r="X24" s="72"/>
      <c r="Y24" s="73"/>
      <c r="Z24" s="65">
        <v>1</v>
      </c>
      <c r="AA24" s="66"/>
      <c r="AB24" s="67"/>
      <c r="AC24" s="68"/>
      <c r="AD24" s="69"/>
      <c r="AE24" s="70"/>
      <c r="AF24" s="67"/>
      <c r="AG24" s="71"/>
      <c r="AH24" s="68"/>
      <c r="AI24" s="72"/>
      <c r="AJ24" s="73"/>
      <c r="AK24" s="65"/>
      <c r="AL24" s="66"/>
      <c r="AM24" s="67">
        <v>1</v>
      </c>
      <c r="AN24" s="68"/>
      <c r="AO24" s="69"/>
      <c r="AP24" s="70"/>
      <c r="AQ24" s="67"/>
      <c r="AR24" s="71"/>
      <c r="AS24" s="68"/>
      <c r="AT24" s="72"/>
      <c r="AU24" s="73"/>
      <c r="AV24" s="65">
        <v>1</v>
      </c>
      <c r="AW24" s="66"/>
      <c r="AX24" s="67"/>
      <c r="AY24" s="68"/>
      <c r="AZ24" s="69"/>
      <c r="BA24" s="70"/>
      <c r="BB24" s="67"/>
      <c r="BC24" s="71"/>
      <c r="BD24" s="68"/>
      <c r="BE24" s="72"/>
      <c r="BF24" s="73"/>
      <c r="BG24" s="65"/>
      <c r="BH24" s="66"/>
      <c r="BI24" s="67">
        <v>1</v>
      </c>
      <c r="BJ24" s="68"/>
      <c r="BK24" s="69"/>
      <c r="BL24" s="70"/>
      <c r="BM24" s="67"/>
      <c r="BN24" s="71"/>
      <c r="BO24" s="68"/>
      <c r="BP24" s="72"/>
      <c r="BQ24" s="73"/>
      <c r="BR24" s="65">
        <v>1</v>
      </c>
      <c r="BS24" s="66">
        <v>1</v>
      </c>
      <c r="BT24" s="67"/>
      <c r="BU24" s="68"/>
      <c r="BV24" s="69"/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>
        <v>1</v>
      </c>
      <c r="E25" s="66"/>
      <c r="F25" s="67"/>
      <c r="G25" s="68"/>
      <c r="H25" s="69"/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/>
      <c r="S25" s="69"/>
      <c r="T25" s="70"/>
      <c r="U25" s="67"/>
      <c r="V25" s="71"/>
      <c r="W25" s="68"/>
      <c r="X25" s="72"/>
      <c r="Y25" s="73"/>
      <c r="Z25" s="65"/>
      <c r="AA25" s="66"/>
      <c r="AB25" s="67">
        <v>1</v>
      </c>
      <c r="AC25" s="68"/>
      <c r="AD25" s="69"/>
      <c r="AE25" s="70"/>
      <c r="AF25" s="67"/>
      <c r="AG25" s="71"/>
      <c r="AH25" s="68"/>
      <c r="AI25" s="72"/>
      <c r="AJ25" s="73"/>
      <c r="AK25" s="65">
        <v>1</v>
      </c>
      <c r="AL25" s="66"/>
      <c r="AM25" s="67"/>
      <c r="AN25" s="68"/>
      <c r="AO25" s="69"/>
      <c r="AP25" s="70"/>
      <c r="AQ25" s="67"/>
      <c r="AR25" s="71"/>
      <c r="AS25" s="68"/>
      <c r="AT25" s="72"/>
      <c r="AU25" s="73"/>
      <c r="AV25" s="65"/>
      <c r="AW25" s="66"/>
      <c r="AX25" s="67">
        <v>1</v>
      </c>
      <c r="AY25" s="68"/>
      <c r="AZ25" s="69"/>
      <c r="BA25" s="70"/>
      <c r="BB25" s="67"/>
      <c r="BC25" s="71"/>
      <c r="BD25" s="68"/>
      <c r="BE25" s="72"/>
      <c r="BF25" s="73"/>
      <c r="BG25" s="65">
        <v>1</v>
      </c>
      <c r="BH25" s="66"/>
      <c r="BI25" s="67">
        <v>1</v>
      </c>
      <c r="BJ25" s="68"/>
      <c r="BK25" s="69"/>
      <c r="BL25" s="70"/>
      <c r="BM25" s="67"/>
      <c r="BN25" s="71"/>
      <c r="BO25" s="68"/>
      <c r="BP25" s="72"/>
      <c r="BQ25" s="73"/>
      <c r="BR25" s="65">
        <v>1</v>
      </c>
      <c r="BS25" s="66">
        <v>1</v>
      </c>
      <c r="BT25" s="67"/>
      <c r="BU25" s="68"/>
      <c r="BV25" s="69"/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>
        <v>1</v>
      </c>
      <c r="E26" s="66"/>
      <c r="F26" s="67">
        <v>1</v>
      </c>
      <c r="G26" s="68"/>
      <c r="H26" s="69"/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/>
      <c r="S26" s="69"/>
      <c r="T26" s="70"/>
      <c r="U26" s="67"/>
      <c r="V26" s="71"/>
      <c r="W26" s="68"/>
      <c r="X26" s="72"/>
      <c r="Y26" s="73"/>
      <c r="Z26" s="65"/>
      <c r="AA26" s="66"/>
      <c r="AB26" s="67">
        <v>1</v>
      </c>
      <c r="AC26" s="68"/>
      <c r="AD26" s="69"/>
      <c r="AE26" s="70"/>
      <c r="AF26" s="67"/>
      <c r="AG26" s="71"/>
      <c r="AH26" s="68"/>
      <c r="AI26" s="72"/>
      <c r="AJ26" s="73"/>
      <c r="AK26" s="65">
        <v>1</v>
      </c>
      <c r="AL26" s="66"/>
      <c r="AM26" s="67">
        <v>1</v>
      </c>
      <c r="AN26" s="68"/>
      <c r="AO26" s="69"/>
      <c r="AP26" s="70"/>
      <c r="AQ26" s="67"/>
      <c r="AR26" s="71"/>
      <c r="AS26" s="68"/>
      <c r="AT26" s="72"/>
      <c r="AU26" s="73"/>
      <c r="AV26" s="65">
        <v>1</v>
      </c>
      <c r="AW26" s="66"/>
      <c r="AX26" s="67">
        <v>1</v>
      </c>
      <c r="AY26" s="68"/>
      <c r="AZ26" s="69"/>
      <c r="BA26" s="70"/>
      <c r="BB26" s="67"/>
      <c r="BC26" s="71"/>
      <c r="BD26" s="68"/>
      <c r="BE26" s="72"/>
      <c r="BF26" s="73"/>
      <c r="BG26" s="65">
        <v>1</v>
      </c>
      <c r="BH26" s="66"/>
      <c r="BI26" s="67">
        <v>1</v>
      </c>
      <c r="BJ26" s="68"/>
      <c r="BK26" s="69"/>
      <c r="BL26" s="70"/>
      <c r="BM26" s="67"/>
      <c r="BN26" s="71"/>
      <c r="BO26" s="68"/>
      <c r="BP26" s="72"/>
      <c r="BQ26" s="73"/>
      <c r="BR26" s="65">
        <v>1</v>
      </c>
      <c r="BS26" s="66">
        <v>1</v>
      </c>
      <c r="BT26" s="67"/>
      <c r="BU26" s="68"/>
      <c r="BV26" s="69"/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>
        <v>1</v>
      </c>
      <c r="E27" s="66"/>
      <c r="F27" s="67">
        <v>1</v>
      </c>
      <c r="G27" s="68"/>
      <c r="H27" s="69"/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/>
      <c r="S27" s="69"/>
      <c r="T27" s="70"/>
      <c r="U27" s="67"/>
      <c r="V27" s="71"/>
      <c r="W27" s="68"/>
      <c r="X27" s="72"/>
      <c r="Y27" s="73"/>
      <c r="Z27" s="65"/>
      <c r="AA27" s="66"/>
      <c r="AB27" s="67">
        <v>1</v>
      </c>
      <c r="AC27" s="68"/>
      <c r="AD27" s="69"/>
      <c r="AE27" s="70"/>
      <c r="AF27" s="67"/>
      <c r="AG27" s="71"/>
      <c r="AH27" s="68"/>
      <c r="AI27" s="72"/>
      <c r="AJ27" s="73"/>
      <c r="AK27" s="65">
        <v>1</v>
      </c>
      <c r="AL27" s="66"/>
      <c r="AM27" s="67">
        <v>1</v>
      </c>
      <c r="AN27" s="68"/>
      <c r="AO27" s="69"/>
      <c r="AP27" s="70"/>
      <c r="AQ27" s="67"/>
      <c r="AR27" s="71"/>
      <c r="AS27" s="68"/>
      <c r="AT27" s="72"/>
      <c r="AU27" s="73"/>
      <c r="AV27" s="65">
        <v>1</v>
      </c>
      <c r="AW27" s="66"/>
      <c r="AX27" s="67">
        <v>1</v>
      </c>
      <c r="AY27" s="68"/>
      <c r="AZ27" s="69"/>
      <c r="BA27" s="70"/>
      <c r="BB27" s="67"/>
      <c r="BC27" s="71"/>
      <c r="BD27" s="68"/>
      <c r="BE27" s="72"/>
      <c r="BF27" s="73"/>
      <c r="BG27" s="65">
        <v>1</v>
      </c>
      <c r="BH27" s="66"/>
      <c r="BI27" s="67">
        <v>1</v>
      </c>
      <c r="BJ27" s="68"/>
      <c r="BK27" s="69"/>
      <c r="BL27" s="70"/>
      <c r="BM27" s="67"/>
      <c r="BN27" s="71"/>
      <c r="BO27" s="68"/>
      <c r="BP27" s="72"/>
      <c r="BQ27" s="73"/>
      <c r="BR27" s="65">
        <v>1</v>
      </c>
      <c r="BS27" s="66">
        <v>1</v>
      </c>
      <c r="BT27" s="67"/>
      <c r="BU27" s="68"/>
      <c r="BV27" s="69"/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>
        <v>1</v>
      </c>
      <c r="E28" s="66"/>
      <c r="F28" s="67">
        <v>1</v>
      </c>
      <c r="G28" s="68"/>
      <c r="H28" s="69"/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/>
      <c r="S28" s="69"/>
      <c r="T28" s="70"/>
      <c r="U28" s="67"/>
      <c r="V28" s="71"/>
      <c r="W28" s="68"/>
      <c r="X28" s="72"/>
      <c r="Y28" s="73"/>
      <c r="Z28" s="65"/>
      <c r="AA28" s="66"/>
      <c r="AB28" s="67">
        <v>1</v>
      </c>
      <c r="AC28" s="68"/>
      <c r="AD28" s="69"/>
      <c r="AE28" s="70"/>
      <c r="AF28" s="67"/>
      <c r="AG28" s="71"/>
      <c r="AH28" s="68"/>
      <c r="AI28" s="72"/>
      <c r="AJ28" s="73"/>
      <c r="AK28" s="65">
        <v>1</v>
      </c>
      <c r="AL28" s="66"/>
      <c r="AM28" s="67">
        <v>1</v>
      </c>
      <c r="AN28" s="68"/>
      <c r="AO28" s="71"/>
      <c r="AP28" s="71"/>
      <c r="AQ28" s="71"/>
      <c r="AR28" s="71"/>
      <c r="AS28" s="68"/>
      <c r="AT28" s="72"/>
      <c r="AU28" s="73"/>
      <c r="AV28" s="65">
        <v>1</v>
      </c>
      <c r="AW28" s="66"/>
      <c r="AX28" s="67">
        <v>1</v>
      </c>
      <c r="AY28" s="68"/>
      <c r="AZ28" s="69"/>
      <c r="BA28" s="70"/>
      <c r="BB28" s="67"/>
      <c r="BC28" s="71"/>
      <c r="BD28" s="68"/>
      <c r="BE28" s="72"/>
      <c r="BF28" s="73"/>
      <c r="BG28" s="65">
        <v>1</v>
      </c>
      <c r="BH28" s="66"/>
      <c r="BI28" s="67">
        <v>1</v>
      </c>
      <c r="BJ28" s="68"/>
      <c r="BK28" s="69"/>
      <c r="BL28" s="70"/>
      <c r="BM28" s="67"/>
      <c r="BN28" s="71"/>
      <c r="BO28" s="68"/>
      <c r="BP28" s="72"/>
      <c r="BQ28" s="73"/>
      <c r="BR28" s="65">
        <v>1</v>
      </c>
      <c r="BS28" s="66">
        <v>1</v>
      </c>
      <c r="BT28" s="67"/>
      <c r="BU28" s="68"/>
      <c r="BV28" s="69"/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17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18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19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20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21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22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23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JOSE</v>
      </c>
      <c r="E33" s="31" t="str">
        <f t="shared" si="0"/>
        <v>ANAHY</v>
      </c>
      <c r="F33" s="32" t="str">
        <f t="shared" si="0"/>
        <v xml:space="preserve">JHOSELYN </v>
      </c>
      <c r="G33" s="33">
        <f t="shared" si="0"/>
        <v>0</v>
      </c>
      <c r="H33" s="34">
        <f t="shared" si="0"/>
        <v>0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JOSE</v>
      </c>
      <c r="P33" s="31" t="str">
        <f t="shared" si="1"/>
        <v>ANAHY</v>
      </c>
      <c r="Q33" s="32" t="str">
        <f t="shared" si="1"/>
        <v xml:space="preserve">JHOSELYN </v>
      </c>
      <c r="R33" s="33">
        <f t="shared" si="1"/>
        <v>0</v>
      </c>
      <c r="S33" s="34">
        <f t="shared" si="1"/>
        <v>0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JOSE</v>
      </c>
      <c r="AA33" s="31" t="str">
        <f t="shared" si="2"/>
        <v>ANAHY</v>
      </c>
      <c r="AB33" s="32" t="str">
        <f t="shared" si="2"/>
        <v xml:space="preserve">JHOSELYN </v>
      </c>
      <c r="AC33" s="33">
        <f t="shared" si="2"/>
        <v>0</v>
      </c>
      <c r="AD33" s="34">
        <f t="shared" si="2"/>
        <v>0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JOSE</v>
      </c>
      <c r="AL33" s="31" t="str">
        <f t="shared" si="3"/>
        <v>ANAHY</v>
      </c>
      <c r="AM33" s="32" t="str">
        <f t="shared" si="3"/>
        <v xml:space="preserve">JHOSELYN </v>
      </c>
      <c r="AN33" s="33">
        <f t="shared" si="3"/>
        <v>0</v>
      </c>
      <c r="AO33" s="34">
        <f t="shared" si="3"/>
        <v>0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JOSE</v>
      </c>
      <c r="AW33" s="31" t="str">
        <f t="shared" si="4"/>
        <v>ANAHY</v>
      </c>
      <c r="AX33" s="32" t="str">
        <f t="shared" si="4"/>
        <v xml:space="preserve">JHOSELYN </v>
      </c>
      <c r="AY33" s="33">
        <f t="shared" si="4"/>
        <v>0</v>
      </c>
      <c r="AZ33" s="34">
        <f t="shared" si="4"/>
        <v>0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JOSE</v>
      </c>
      <c r="BH33" s="31" t="str">
        <f t="shared" si="5"/>
        <v>ANAHY</v>
      </c>
      <c r="BI33" s="32" t="str">
        <f t="shared" si="5"/>
        <v xml:space="preserve">JHOSELYN </v>
      </c>
      <c r="BJ33" s="33">
        <f t="shared" si="5"/>
        <v>0</v>
      </c>
      <c r="BK33" s="34">
        <f t="shared" si="5"/>
        <v>0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JOSE</v>
      </c>
      <c r="BS33" s="31" t="str">
        <f t="shared" si="6"/>
        <v>ANAHY</v>
      </c>
      <c r="BT33" s="32" t="str">
        <f t="shared" si="6"/>
        <v xml:space="preserve">JHOSELYN </v>
      </c>
      <c r="BU33" s="33">
        <f t="shared" si="6"/>
        <v>0</v>
      </c>
      <c r="BV33" s="34">
        <f t="shared" si="6"/>
        <v>0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4</v>
      </c>
      <c r="E34" s="48">
        <f t="shared" ref="E34:M34" si="7">SUM(E7:E30)</f>
        <v>5</v>
      </c>
      <c r="F34" s="49">
        <f t="shared" si="7"/>
        <v>6</v>
      </c>
      <c r="G34" s="50">
        <f t="shared" si="7"/>
        <v>0</v>
      </c>
      <c r="H34" s="51">
        <f t="shared" si="7"/>
        <v>0</v>
      </c>
      <c r="I34" s="52">
        <f t="shared" si="7"/>
        <v>0</v>
      </c>
      <c r="J34" s="49">
        <f t="shared" si="7"/>
        <v>0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0</v>
      </c>
      <c r="P34" s="48">
        <f t="shared" si="8"/>
        <v>7</v>
      </c>
      <c r="Q34" s="49">
        <f t="shared" si="8"/>
        <v>5</v>
      </c>
      <c r="R34" s="50">
        <f t="shared" si="8"/>
        <v>0</v>
      </c>
      <c r="S34" s="51">
        <f t="shared" si="8"/>
        <v>0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7</v>
      </c>
      <c r="AA34" s="48">
        <f t="shared" si="9"/>
        <v>0</v>
      </c>
      <c r="AB34" s="49">
        <f t="shared" si="9"/>
        <v>5</v>
      </c>
      <c r="AC34" s="50">
        <f t="shared" si="9"/>
        <v>0</v>
      </c>
      <c r="AD34" s="51">
        <f t="shared" si="9"/>
        <v>0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4</v>
      </c>
      <c r="AL34" s="48">
        <f t="shared" si="10"/>
        <v>5</v>
      </c>
      <c r="AM34" s="49">
        <f t="shared" si="10"/>
        <v>6</v>
      </c>
      <c r="AN34" s="50">
        <f t="shared" si="10"/>
        <v>0</v>
      </c>
      <c r="AO34" s="51">
        <f t="shared" si="10"/>
        <v>0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6</v>
      </c>
      <c r="AW34" s="48">
        <f t="shared" si="11"/>
        <v>5</v>
      </c>
      <c r="AX34" s="49">
        <f t="shared" si="11"/>
        <v>4</v>
      </c>
      <c r="AY34" s="50">
        <f t="shared" si="11"/>
        <v>0</v>
      </c>
      <c r="AZ34" s="51">
        <f t="shared" si="11"/>
        <v>0</v>
      </c>
      <c r="BA34" s="52">
        <f t="shared" si="11"/>
        <v>0.5</v>
      </c>
      <c r="BB34" s="49">
        <f t="shared" si="11"/>
        <v>0.5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5</v>
      </c>
      <c r="BH34" s="48">
        <f t="shared" si="12"/>
        <v>5</v>
      </c>
      <c r="BI34" s="49">
        <f t="shared" si="12"/>
        <v>6</v>
      </c>
      <c r="BJ34" s="50">
        <f t="shared" si="12"/>
        <v>0</v>
      </c>
      <c r="BK34" s="51">
        <f t="shared" si="12"/>
        <v>0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11</v>
      </c>
      <c r="BS34" s="48">
        <f t="shared" si="13"/>
        <v>7</v>
      </c>
      <c r="BT34" s="49">
        <f t="shared" si="13"/>
        <v>0</v>
      </c>
      <c r="BU34" s="50">
        <f t="shared" si="13"/>
        <v>0</v>
      </c>
      <c r="BV34" s="51">
        <f t="shared" si="13"/>
        <v>0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45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37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 t="s">
        <v>47</v>
      </c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34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46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32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/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0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/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0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0.5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0.5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  <mergeCell ref="B41:J41"/>
    <mergeCell ref="L41:N41"/>
    <mergeCell ref="B42:J42"/>
    <mergeCell ref="L42:N42"/>
    <mergeCell ref="B43:J43"/>
    <mergeCell ref="L43:N43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</mergeCells>
  <conditionalFormatting sqref="D7:M14 D29:M30">
    <cfRule type="expression" dxfId="38" priority="13">
      <formula>IF(OR(D7=0,D7=""),TRUE(),FALSE())</formula>
    </cfRule>
  </conditionalFormatting>
  <conditionalFormatting sqref="BG16:BN16 BP16 BG15:BP15 D15:M28 BG17:BP28">
    <cfRule type="expression" dxfId="37" priority="12">
      <formula>IF(OR(D15=0,D15=""),TRUE(),FALSE())</formula>
    </cfRule>
  </conditionalFormatting>
  <conditionalFormatting sqref="O7:X14 O29:X30">
    <cfRule type="expression" dxfId="36" priority="11">
      <formula>IF(OR(O7=0,O7=""),TRUE(),FALSE())</formula>
    </cfRule>
  </conditionalFormatting>
  <conditionalFormatting sqref="O15:X28">
    <cfRule type="expression" dxfId="35" priority="10">
      <formula>IF(OR(O15=0,O15=""),TRUE(),FALSE())</formula>
    </cfRule>
  </conditionalFormatting>
  <conditionalFormatting sqref="Z7:AI14 Z29:AI30">
    <cfRule type="expression" dxfId="34" priority="9">
      <formula>IF(OR(Z7=0,Z7=""),TRUE(),FALSE())</formula>
    </cfRule>
  </conditionalFormatting>
  <conditionalFormatting sqref="Z15:AI28">
    <cfRule type="expression" dxfId="33" priority="8">
      <formula>IF(OR(Z15=0,Z15=""),TRUE(),FALSE())</formula>
    </cfRule>
  </conditionalFormatting>
  <conditionalFormatting sqref="AK7:AT14 AK29:AT30">
    <cfRule type="expression" dxfId="32" priority="7">
      <formula>IF(OR(AK7=0,AK7=""),TRUE(),FALSE())</formula>
    </cfRule>
  </conditionalFormatting>
  <conditionalFormatting sqref="AK15:AT28">
    <cfRule type="expression" dxfId="31" priority="6">
      <formula>IF(OR(AK15=0,AK15=""),TRUE(),FALSE())</formula>
    </cfRule>
  </conditionalFormatting>
  <conditionalFormatting sqref="AV7:BE14 AV29:BE30">
    <cfRule type="expression" dxfId="30" priority="5">
      <formula>IF(OR(AV7=0,AV7=""),TRUE(),FALSE())</formula>
    </cfRule>
  </conditionalFormatting>
  <conditionalFormatting sqref="AV15:BE28">
    <cfRule type="expression" dxfId="29" priority="4">
      <formula>IF(OR(AV15=0,AV15=""),TRUE(),FALSE())</formula>
    </cfRule>
  </conditionalFormatting>
  <conditionalFormatting sqref="BG7:BP14 BG29:BP30">
    <cfRule type="expression" dxfId="28" priority="3">
      <formula>IF(OR(BG7=0,BG7=""),TRUE(),FALSE())</formula>
    </cfRule>
  </conditionalFormatting>
  <conditionalFormatting sqref="BR7:CA14 BR29:CA30">
    <cfRule type="expression" dxfId="27" priority="2">
      <formula>IF(OR(BR7=0,BR7=""),TRUE(),FALSE())</formula>
    </cfRule>
  </conditionalFormatting>
  <conditionalFormatting sqref="BR15:CA28">
    <cfRule type="expression" dxfId="26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R7:CA30 BG7:BP15 BG17:BP30 BG16:BN16 BP16" xr:uid="{A4A7C3E3-34EB-4280-8968-7F9C630D33B7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71593-F78C-45A2-BFCF-30BAD10158CC}">
  <sheetPr codeName="Hoja27"/>
  <dimension ref="A1:CA48"/>
  <sheetViews>
    <sheetView showGridLines="0" zoomScale="80" zoomScaleNormal="80" workbookViewId="0">
      <selection activeCell="AK20" sqref="AK20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24 DE AGOSTO AL 30 DE AGOSTO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46258</v>
      </c>
      <c r="D5" s="63" t="str">
        <f>CONCATENATE("Lunes ",TEXT(DAY(C5),"00"))</f>
        <v>Lunes 24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25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26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27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28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29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30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44</v>
      </c>
      <c r="E6" s="9"/>
      <c r="F6" s="10" t="s">
        <v>43</v>
      </c>
      <c r="G6" s="11" t="s">
        <v>50</v>
      </c>
      <c r="H6" s="12"/>
      <c r="I6" s="13"/>
      <c r="J6" s="10"/>
      <c r="K6" s="14"/>
      <c r="L6" s="11"/>
      <c r="M6" s="15"/>
      <c r="O6" s="8" t="str">
        <f>D6</f>
        <v>JOSE</v>
      </c>
      <c r="P6" s="9"/>
      <c r="Q6" s="10" t="str">
        <f>F6</f>
        <v xml:space="preserve">JHOSELYN </v>
      </c>
      <c r="R6" s="11"/>
      <c r="S6" s="12"/>
      <c r="T6" s="13"/>
      <c r="U6" s="10"/>
      <c r="V6" s="14"/>
      <c r="W6" s="11"/>
      <c r="X6" s="15"/>
      <c r="Z6" s="8" t="str">
        <f>O6</f>
        <v>JOSE</v>
      </c>
      <c r="AA6" s="9"/>
      <c r="AB6" s="10" t="str">
        <f>Q6</f>
        <v xml:space="preserve">JHOSELYN </v>
      </c>
      <c r="AC6" s="11"/>
      <c r="AD6" s="12"/>
      <c r="AE6" s="13"/>
      <c r="AF6" s="10"/>
      <c r="AG6" s="14"/>
      <c r="AH6" s="11"/>
      <c r="AI6" s="15"/>
      <c r="AK6" s="8" t="str">
        <f>Z6</f>
        <v>JOSE</v>
      </c>
      <c r="AL6" s="9"/>
      <c r="AM6" s="10" t="str">
        <f>Q6</f>
        <v xml:space="preserve">JHOSELYN </v>
      </c>
      <c r="AN6" s="11"/>
      <c r="AO6" s="12"/>
      <c r="AP6" s="13"/>
      <c r="AQ6" s="10"/>
      <c r="AR6" s="14"/>
      <c r="AS6" s="11"/>
      <c r="AT6" s="15"/>
      <c r="AV6" s="8" t="str">
        <f>AK6</f>
        <v>JOSE</v>
      </c>
      <c r="AW6" s="9"/>
      <c r="AX6" s="10" t="str">
        <f>AB6</f>
        <v xml:space="preserve">JHOSELYN </v>
      </c>
      <c r="AY6" s="11"/>
      <c r="AZ6" s="12"/>
      <c r="BA6" s="13"/>
      <c r="BB6" s="10"/>
      <c r="BC6" s="14"/>
      <c r="BD6" s="11"/>
      <c r="BE6" s="15"/>
      <c r="BG6" s="8" t="str">
        <f>AV6</f>
        <v>JOSE</v>
      </c>
      <c r="BH6" s="9"/>
      <c r="BI6" s="10" t="str">
        <f>AX6</f>
        <v xml:space="preserve">JHOSELYN </v>
      </c>
      <c r="BJ6" s="11"/>
      <c r="BK6" s="12"/>
      <c r="BL6" s="13"/>
      <c r="BM6" s="10"/>
      <c r="BN6" s="14"/>
      <c r="BO6" s="11"/>
      <c r="BP6" s="15"/>
      <c r="BR6" s="8" t="str">
        <f>AV6</f>
        <v>JOSE</v>
      </c>
      <c r="BS6" s="9"/>
      <c r="BT6" s="10" t="str">
        <f>AX6</f>
        <v xml:space="preserve">JHOSELYN </v>
      </c>
      <c r="BU6" s="11"/>
      <c r="BV6" s="12"/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>
        <v>0.5</v>
      </c>
      <c r="BB14" s="18">
        <v>0.5</v>
      </c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/>
      <c r="H15" s="69"/>
      <c r="I15" s="70"/>
      <c r="J15" s="67"/>
      <c r="K15" s="71"/>
      <c r="L15" s="68"/>
      <c r="M15" s="72"/>
      <c r="N15" s="73"/>
      <c r="O15" s="65"/>
      <c r="P15" s="66"/>
      <c r="Q15" s="67"/>
      <c r="R15" s="68"/>
      <c r="S15" s="69"/>
      <c r="T15" s="70"/>
      <c r="U15" s="67"/>
      <c r="V15" s="71"/>
      <c r="W15" s="68"/>
      <c r="X15" s="72"/>
      <c r="Y15" s="73"/>
      <c r="Z15" s="65"/>
      <c r="AA15" s="66"/>
      <c r="AB15" s="67"/>
      <c r="AC15" s="68"/>
      <c r="AD15" s="69"/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/>
      <c r="BI15" s="67"/>
      <c r="BJ15" s="68"/>
      <c r="BK15" s="68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/>
      <c r="F16" s="67"/>
      <c r="G16" s="68"/>
      <c r="H16" s="69"/>
      <c r="I16" s="70"/>
      <c r="J16" s="67"/>
      <c r="K16" s="71"/>
      <c r="L16" s="68"/>
      <c r="M16" s="72"/>
      <c r="N16" s="73"/>
      <c r="O16" s="65">
        <v>1</v>
      </c>
      <c r="P16" s="66"/>
      <c r="Q16" s="67"/>
      <c r="R16" s="68"/>
      <c r="S16" s="69"/>
      <c r="T16" s="70"/>
      <c r="U16" s="67"/>
      <c r="V16" s="71"/>
      <c r="W16" s="68"/>
      <c r="X16" s="72"/>
      <c r="Y16" s="73"/>
      <c r="Z16" s="65"/>
      <c r="AA16" s="66"/>
      <c r="AB16" s="67"/>
      <c r="AC16" s="68"/>
      <c r="AD16" s="69"/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9"/>
      <c r="BI16" s="67"/>
      <c r="BJ16" s="68"/>
      <c r="BK16" s="69"/>
      <c r="BL16" s="70"/>
      <c r="BM16" s="67"/>
      <c r="BN16" s="71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/>
      <c r="F17" s="67">
        <v>1</v>
      </c>
      <c r="G17" s="68"/>
      <c r="H17" s="69"/>
      <c r="I17" s="70"/>
      <c r="J17" s="67"/>
      <c r="K17" s="71"/>
      <c r="L17" s="68"/>
      <c r="M17" s="72"/>
      <c r="N17" s="73"/>
      <c r="O17" s="65">
        <v>1</v>
      </c>
      <c r="P17" s="66"/>
      <c r="Q17" s="67"/>
      <c r="R17" s="68"/>
      <c r="S17" s="69"/>
      <c r="T17" s="70"/>
      <c r="U17" s="67"/>
      <c r="V17" s="71"/>
      <c r="W17" s="68"/>
      <c r="X17" s="72"/>
      <c r="Y17" s="73"/>
      <c r="Z17" s="65">
        <v>1</v>
      </c>
      <c r="AA17" s="66"/>
      <c r="AB17" s="67"/>
      <c r="AC17" s="68"/>
      <c r="AD17" s="69"/>
      <c r="AE17" s="70"/>
      <c r="AF17" s="67"/>
      <c r="AG17" s="71"/>
      <c r="AH17" s="68"/>
      <c r="AI17" s="72"/>
      <c r="AJ17" s="73"/>
      <c r="AK17" s="65"/>
      <c r="AL17" s="66"/>
      <c r="AM17" s="67"/>
      <c r="AN17" s="68"/>
      <c r="AO17" s="69"/>
      <c r="AP17" s="70"/>
      <c r="AQ17" s="67"/>
      <c r="AR17" s="71"/>
      <c r="AS17" s="68"/>
      <c r="AT17" s="72"/>
      <c r="AU17" s="73"/>
      <c r="AV17" s="65"/>
      <c r="AW17" s="66"/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/>
      <c r="BI17" s="67"/>
      <c r="BJ17" s="68"/>
      <c r="BK17" s="69"/>
      <c r="BL17" s="70"/>
      <c r="BM17" s="67"/>
      <c r="BN17" s="71"/>
      <c r="BO17" s="68"/>
      <c r="BP17" s="72"/>
      <c r="BQ17" s="73"/>
      <c r="BR17" s="65">
        <v>1</v>
      </c>
      <c r="BS17" s="66"/>
      <c r="BT17" s="67"/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/>
      <c r="F18" s="67">
        <v>1</v>
      </c>
      <c r="G18" s="68"/>
      <c r="H18" s="69"/>
      <c r="I18" s="70"/>
      <c r="J18" s="67"/>
      <c r="K18" s="71"/>
      <c r="L18" s="68"/>
      <c r="M18" s="72"/>
      <c r="N18" s="73"/>
      <c r="O18" s="65">
        <v>1</v>
      </c>
      <c r="P18" s="66"/>
      <c r="Q18" s="67"/>
      <c r="R18" s="68"/>
      <c r="S18" s="69"/>
      <c r="T18" s="70"/>
      <c r="U18" s="67"/>
      <c r="V18" s="71"/>
      <c r="W18" s="68"/>
      <c r="X18" s="72"/>
      <c r="Y18" s="73"/>
      <c r="Z18" s="65">
        <v>1</v>
      </c>
      <c r="AA18" s="66"/>
      <c r="AB18" s="67"/>
      <c r="AC18" s="68"/>
      <c r="AD18" s="69"/>
      <c r="AE18" s="70"/>
      <c r="AF18" s="67"/>
      <c r="AG18" s="71"/>
      <c r="AH18" s="68"/>
      <c r="AI18" s="72"/>
      <c r="AJ18" s="73"/>
      <c r="AK18" s="65"/>
      <c r="AL18" s="66"/>
      <c r="AM18" s="67"/>
      <c r="AN18" s="68"/>
      <c r="AO18" s="69"/>
      <c r="AP18" s="70"/>
      <c r="AQ18" s="67"/>
      <c r="AR18" s="71"/>
      <c r="AS18" s="68"/>
      <c r="AT18" s="72"/>
      <c r="AU18" s="73"/>
      <c r="AV18" s="65"/>
      <c r="AW18" s="66"/>
      <c r="AX18" s="67"/>
      <c r="AY18" s="68"/>
      <c r="AZ18" s="69"/>
      <c r="BA18" s="70"/>
      <c r="BB18" s="67"/>
      <c r="BC18" s="71"/>
      <c r="BD18" s="68"/>
      <c r="BE18" s="72"/>
      <c r="BF18" s="73"/>
      <c r="BG18" s="65"/>
      <c r="BH18" s="66"/>
      <c r="BI18" s="67"/>
      <c r="BJ18" s="68"/>
      <c r="BK18" s="69"/>
      <c r="BL18" s="70"/>
      <c r="BM18" s="67"/>
      <c r="BN18" s="71"/>
      <c r="BO18" s="68"/>
      <c r="BP18" s="72"/>
      <c r="BQ18" s="73"/>
      <c r="BR18" s="65">
        <v>1</v>
      </c>
      <c r="BS18" s="66"/>
      <c r="BT18" s="67"/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/>
      <c r="F19" s="67">
        <v>1</v>
      </c>
      <c r="G19" s="68"/>
      <c r="H19" s="69"/>
      <c r="I19" s="70"/>
      <c r="J19" s="67"/>
      <c r="K19" s="71"/>
      <c r="L19" s="68"/>
      <c r="M19" s="72"/>
      <c r="N19" s="73"/>
      <c r="O19" s="65">
        <v>1</v>
      </c>
      <c r="P19" s="66"/>
      <c r="Q19" s="67"/>
      <c r="R19" s="68"/>
      <c r="S19" s="69"/>
      <c r="T19" s="70"/>
      <c r="U19" s="67"/>
      <c r="V19" s="71"/>
      <c r="W19" s="68"/>
      <c r="X19" s="72"/>
      <c r="Y19" s="73"/>
      <c r="Z19" s="65">
        <v>1</v>
      </c>
      <c r="AA19" s="66"/>
      <c r="AB19" s="67"/>
      <c r="AC19" s="68"/>
      <c r="AD19" s="69"/>
      <c r="AE19" s="70"/>
      <c r="AF19" s="67"/>
      <c r="AG19" s="71"/>
      <c r="AH19" s="68"/>
      <c r="AI19" s="72"/>
      <c r="AJ19" s="73"/>
      <c r="AK19" s="65"/>
      <c r="AL19" s="66"/>
      <c r="AM19" s="67"/>
      <c r="AN19" s="68"/>
      <c r="AO19" s="69"/>
      <c r="AP19" s="70"/>
      <c r="AQ19" s="67"/>
      <c r="AR19" s="71"/>
      <c r="AS19" s="68"/>
      <c r="AT19" s="72"/>
      <c r="AU19" s="73"/>
      <c r="AV19" s="65"/>
      <c r="AW19" s="66"/>
      <c r="AX19" s="67"/>
      <c r="AY19" s="68"/>
      <c r="AZ19" s="69"/>
      <c r="BA19" s="70"/>
      <c r="BB19" s="67"/>
      <c r="BC19" s="71"/>
      <c r="BD19" s="68"/>
      <c r="BE19" s="72"/>
      <c r="BF19" s="73"/>
      <c r="BG19" s="65"/>
      <c r="BH19" s="66"/>
      <c r="BI19" s="67"/>
      <c r="BJ19" s="68"/>
      <c r="BK19" s="69"/>
      <c r="BL19" s="70"/>
      <c r="BM19" s="67"/>
      <c r="BN19" s="71"/>
      <c r="BO19" s="68"/>
      <c r="BP19" s="72"/>
      <c r="BQ19" s="73"/>
      <c r="BR19" s="65">
        <v>1</v>
      </c>
      <c r="BS19" s="66"/>
      <c r="BT19" s="67"/>
      <c r="BU19" s="68"/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/>
      <c r="F20" s="67">
        <v>1</v>
      </c>
      <c r="G20" s="68"/>
      <c r="H20" s="69"/>
      <c r="I20" s="70"/>
      <c r="J20" s="67"/>
      <c r="K20" s="71"/>
      <c r="L20" s="68"/>
      <c r="M20" s="72"/>
      <c r="N20" s="74"/>
      <c r="O20" s="65">
        <v>1</v>
      </c>
      <c r="P20" s="66"/>
      <c r="Q20" s="67"/>
      <c r="R20" s="68"/>
      <c r="S20" s="69"/>
      <c r="T20" s="70"/>
      <c r="U20" s="67"/>
      <c r="V20" s="71"/>
      <c r="W20" s="68"/>
      <c r="X20" s="72"/>
      <c r="Y20" s="74"/>
      <c r="Z20" s="65">
        <v>1</v>
      </c>
      <c r="AA20" s="66"/>
      <c r="AB20" s="67"/>
      <c r="AC20" s="68"/>
      <c r="AD20" s="69"/>
      <c r="AE20" s="70"/>
      <c r="AF20" s="67"/>
      <c r="AG20" s="71"/>
      <c r="AH20" s="68"/>
      <c r="AI20" s="72"/>
      <c r="AJ20" s="74"/>
      <c r="AK20" s="65"/>
      <c r="AL20" s="66"/>
      <c r="AM20" s="67"/>
      <c r="AN20" s="68"/>
      <c r="AO20" s="69"/>
      <c r="AP20" s="70"/>
      <c r="AQ20" s="67"/>
      <c r="AR20" s="71"/>
      <c r="AS20" s="68"/>
      <c r="AT20" s="72"/>
      <c r="AU20" s="74"/>
      <c r="AV20" s="65"/>
      <c r="AW20" s="66"/>
      <c r="AX20" s="67"/>
      <c r="AY20" s="68"/>
      <c r="AZ20" s="69"/>
      <c r="BA20" s="70"/>
      <c r="BB20" s="67"/>
      <c r="BC20" s="71"/>
      <c r="BD20" s="68"/>
      <c r="BE20" s="72"/>
      <c r="BF20" s="74"/>
      <c r="BG20" s="65"/>
      <c r="BH20" s="66"/>
      <c r="BI20" s="67"/>
      <c r="BJ20" s="68"/>
      <c r="BK20" s="69"/>
      <c r="BL20" s="70"/>
      <c r="BM20" s="67"/>
      <c r="BN20" s="71"/>
      <c r="BO20" s="68"/>
      <c r="BP20" s="72"/>
      <c r="BQ20" s="74"/>
      <c r="BR20" s="65">
        <v>1</v>
      </c>
      <c r="BS20" s="66"/>
      <c r="BT20" s="67"/>
      <c r="BU20" s="68"/>
      <c r="BV20" s="69"/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/>
      <c r="F21" s="67">
        <v>1</v>
      </c>
      <c r="G21" s="68"/>
      <c r="H21" s="69"/>
      <c r="I21" s="70"/>
      <c r="J21" s="67"/>
      <c r="K21" s="71"/>
      <c r="L21" s="68"/>
      <c r="M21" s="72"/>
      <c r="N21" s="73"/>
      <c r="O21" s="65">
        <v>1</v>
      </c>
      <c r="P21" s="66"/>
      <c r="Q21" s="67"/>
      <c r="R21" s="68"/>
      <c r="S21" s="69"/>
      <c r="T21" s="70"/>
      <c r="U21" s="67"/>
      <c r="V21" s="71"/>
      <c r="W21" s="68"/>
      <c r="X21" s="72"/>
      <c r="Y21" s="73"/>
      <c r="Z21" s="65">
        <v>1</v>
      </c>
      <c r="AA21" s="66"/>
      <c r="AB21" s="67"/>
      <c r="AC21" s="68"/>
      <c r="AD21" s="69"/>
      <c r="AE21" s="70"/>
      <c r="AF21" s="67"/>
      <c r="AG21" s="71"/>
      <c r="AH21" s="68"/>
      <c r="AI21" s="72"/>
      <c r="AJ21" s="73"/>
      <c r="AK21" s="65"/>
      <c r="AL21" s="66"/>
      <c r="AM21" s="67"/>
      <c r="AN21" s="68"/>
      <c r="AO21" s="69"/>
      <c r="AP21" s="70"/>
      <c r="AQ21" s="67"/>
      <c r="AR21" s="71"/>
      <c r="AS21" s="68"/>
      <c r="AT21" s="72"/>
      <c r="AU21" s="73"/>
      <c r="AV21" s="65"/>
      <c r="AW21" s="66"/>
      <c r="AX21" s="67"/>
      <c r="AY21" s="68"/>
      <c r="AZ21" s="69"/>
      <c r="BA21" s="70"/>
      <c r="BB21" s="67"/>
      <c r="BC21" s="71"/>
      <c r="BD21" s="68"/>
      <c r="BE21" s="72"/>
      <c r="BF21" s="73"/>
      <c r="BG21" s="65"/>
      <c r="BH21" s="66"/>
      <c r="BI21" s="67"/>
      <c r="BJ21" s="68"/>
      <c r="BK21" s="69"/>
      <c r="BL21" s="70"/>
      <c r="BM21" s="67"/>
      <c r="BN21" s="71"/>
      <c r="BO21" s="68"/>
      <c r="BP21" s="72"/>
      <c r="BQ21" s="73"/>
      <c r="BR21" s="65"/>
      <c r="BS21" s="66"/>
      <c r="BT21" s="67"/>
      <c r="BU21" s="68"/>
      <c r="BV21" s="69"/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/>
      <c r="G22" s="68">
        <v>1</v>
      </c>
      <c r="H22" s="69"/>
      <c r="I22" s="70"/>
      <c r="J22" s="67"/>
      <c r="K22" s="71"/>
      <c r="L22" s="68"/>
      <c r="M22" s="72"/>
      <c r="N22" s="73"/>
      <c r="O22" s="65">
        <v>1</v>
      </c>
      <c r="P22" s="66"/>
      <c r="Q22" s="67"/>
      <c r="R22" s="68"/>
      <c r="S22" s="69"/>
      <c r="T22" s="70"/>
      <c r="U22" s="67"/>
      <c r="V22" s="71"/>
      <c r="W22" s="68"/>
      <c r="X22" s="72"/>
      <c r="Y22" s="73"/>
      <c r="Z22" s="65">
        <v>1</v>
      </c>
      <c r="AA22" s="66"/>
      <c r="AB22" s="67"/>
      <c r="AC22" s="68"/>
      <c r="AD22" s="69"/>
      <c r="AE22" s="70"/>
      <c r="AF22" s="67"/>
      <c r="AG22" s="71"/>
      <c r="AH22" s="68"/>
      <c r="AI22" s="72"/>
      <c r="AJ22" s="73"/>
      <c r="AK22" s="65"/>
      <c r="AL22" s="66"/>
      <c r="AM22" s="67">
        <v>1</v>
      </c>
      <c r="AN22" s="68"/>
      <c r="AO22" s="69"/>
      <c r="AP22" s="70"/>
      <c r="AQ22" s="67"/>
      <c r="AR22" s="71"/>
      <c r="AS22" s="68"/>
      <c r="AT22" s="72"/>
      <c r="AU22" s="73"/>
      <c r="AV22" s="65">
        <v>1</v>
      </c>
      <c r="AW22" s="66"/>
      <c r="AX22" s="67"/>
      <c r="AY22" s="68"/>
      <c r="AZ22" s="69"/>
      <c r="BA22" s="70"/>
      <c r="BB22" s="67"/>
      <c r="BC22" s="71"/>
      <c r="BD22" s="68"/>
      <c r="BE22" s="72"/>
      <c r="BF22" s="73"/>
      <c r="BG22" s="65"/>
      <c r="BH22" s="66"/>
      <c r="BI22" s="67">
        <v>1</v>
      </c>
      <c r="BJ22" s="68"/>
      <c r="BK22" s="69"/>
      <c r="BL22" s="70"/>
      <c r="BM22" s="67"/>
      <c r="BN22" s="71"/>
      <c r="BO22" s="68"/>
      <c r="BP22" s="72"/>
      <c r="BQ22" s="73"/>
      <c r="BR22" s="65">
        <v>1</v>
      </c>
      <c r="BS22" s="66"/>
      <c r="BT22" s="67"/>
      <c r="BU22" s="68"/>
      <c r="BV22" s="69"/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/>
      <c r="E23" s="66"/>
      <c r="F23" s="67"/>
      <c r="G23" s="68">
        <v>1</v>
      </c>
      <c r="H23" s="69"/>
      <c r="I23" s="70"/>
      <c r="J23" s="67"/>
      <c r="K23" s="71"/>
      <c r="L23" s="68"/>
      <c r="M23" s="72"/>
      <c r="N23" s="73"/>
      <c r="O23" s="65"/>
      <c r="P23" s="66"/>
      <c r="Q23" s="67">
        <v>1</v>
      </c>
      <c r="R23" s="68"/>
      <c r="S23" s="69"/>
      <c r="T23" s="70"/>
      <c r="U23" s="67"/>
      <c r="V23" s="71"/>
      <c r="W23" s="68"/>
      <c r="X23" s="72"/>
      <c r="Y23" s="73"/>
      <c r="Z23" s="65"/>
      <c r="AA23" s="66"/>
      <c r="AB23" s="67">
        <v>1</v>
      </c>
      <c r="AC23" s="68"/>
      <c r="AD23" s="69"/>
      <c r="AE23" s="70"/>
      <c r="AF23" s="67"/>
      <c r="AG23" s="71"/>
      <c r="AH23" s="68"/>
      <c r="AI23" s="72"/>
      <c r="AJ23" s="73"/>
      <c r="AK23" s="65"/>
      <c r="AL23" s="66"/>
      <c r="AM23" s="67">
        <v>1</v>
      </c>
      <c r="AN23" s="68"/>
      <c r="AO23" s="69"/>
      <c r="AP23" s="70"/>
      <c r="AQ23" s="67"/>
      <c r="AR23" s="71"/>
      <c r="AS23" s="68"/>
      <c r="AT23" s="72"/>
      <c r="AU23" s="73"/>
      <c r="AV23" s="65">
        <v>1</v>
      </c>
      <c r="AW23" s="66"/>
      <c r="AX23" s="67"/>
      <c r="AY23" s="68"/>
      <c r="AZ23" s="69"/>
      <c r="BA23" s="70"/>
      <c r="BB23" s="67"/>
      <c r="BC23" s="71"/>
      <c r="BD23" s="68"/>
      <c r="BE23" s="72"/>
      <c r="BF23" s="73"/>
      <c r="BG23" s="65"/>
      <c r="BH23" s="66"/>
      <c r="BI23" s="67">
        <v>1</v>
      </c>
      <c r="BJ23" s="68"/>
      <c r="BK23" s="69"/>
      <c r="BL23" s="70"/>
      <c r="BM23" s="67"/>
      <c r="BN23" s="71"/>
      <c r="BO23" s="68"/>
      <c r="BP23" s="72"/>
      <c r="BQ23" s="73"/>
      <c r="BR23" s="65">
        <v>1</v>
      </c>
      <c r="BS23" s="66"/>
      <c r="BT23" s="67"/>
      <c r="BU23" s="68"/>
      <c r="BV23" s="69"/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/>
      <c r="E24" s="66"/>
      <c r="F24" s="67"/>
      <c r="G24" s="68">
        <v>1</v>
      </c>
      <c r="H24" s="69"/>
      <c r="I24" s="70"/>
      <c r="J24" s="67"/>
      <c r="K24" s="71"/>
      <c r="L24" s="68"/>
      <c r="M24" s="72"/>
      <c r="N24" s="73"/>
      <c r="O24" s="65">
        <v>1</v>
      </c>
      <c r="P24" s="66"/>
      <c r="Q24" s="67"/>
      <c r="R24" s="68"/>
      <c r="S24" s="69"/>
      <c r="T24" s="70"/>
      <c r="U24" s="67"/>
      <c r="V24" s="71"/>
      <c r="W24" s="68"/>
      <c r="X24" s="72"/>
      <c r="Y24" s="73"/>
      <c r="Z24" s="65">
        <v>1</v>
      </c>
      <c r="AA24" s="66"/>
      <c r="AB24" s="67"/>
      <c r="AC24" s="68"/>
      <c r="AD24" s="69"/>
      <c r="AE24" s="70"/>
      <c r="AF24" s="67"/>
      <c r="AG24" s="71"/>
      <c r="AH24" s="68"/>
      <c r="AI24" s="72"/>
      <c r="AJ24" s="73"/>
      <c r="AK24" s="65"/>
      <c r="AL24" s="66"/>
      <c r="AM24" s="67">
        <v>1</v>
      </c>
      <c r="AN24" s="68"/>
      <c r="AO24" s="69"/>
      <c r="AP24" s="70"/>
      <c r="AQ24" s="67"/>
      <c r="AR24" s="71"/>
      <c r="AS24" s="68"/>
      <c r="AT24" s="72"/>
      <c r="AU24" s="73"/>
      <c r="AV24" s="65">
        <v>1</v>
      </c>
      <c r="AW24" s="66"/>
      <c r="AX24" s="67"/>
      <c r="AY24" s="68"/>
      <c r="AZ24" s="69"/>
      <c r="BA24" s="70"/>
      <c r="BB24" s="67"/>
      <c r="BC24" s="71"/>
      <c r="BD24" s="68"/>
      <c r="BE24" s="72"/>
      <c r="BF24" s="73"/>
      <c r="BG24" s="65">
        <v>1</v>
      </c>
      <c r="BH24" s="66"/>
      <c r="BI24" s="67"/>
      <c r="BJ24" s="68"/>
      <c r="BK24" s="69"/>
      <c r="BL24" s="70"/>
      <c r="BM24" s="67"/>
      <c r="BN24" s="71"/>
      <c r="BO24" s="68"/>
      <c r="BP24" s="72"/>
      <c r="BQ24" s="73"/>
      <c r="BR24" s="65">
        <v>1</v>
      </c>
      <c r="BS24" s="66"/>
      <c r="BT24" s="67"/>
      <c r="BU24" s="68"/>
      <c r="BV24" s="69"/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>
        <v>1</v>
      </c>
      <c r="E25" s="66"/>
      <c r="F25" s="67"/>
      <c r="G25" s="68"/>
      <c r="H25" s="69"/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/>
      <c r="S25" s="69"/>
      <c r="T25" s="70"/>
      <c r="U25" s="67"/>
      <c r="V25" s="71"/>
      <c r="W25" s="68"/>
      <c r="X25" s="72"/>
      <c r="Y25" s="73"/>
      <c r="Z25" s="65"/>
      <c r="AA25" s="66"/>
      <c r="AB25" s="67">
        <v>1</v>
      </c>
      <c r="AC25" s="68"/>
      <c r="AD25" s="69"/>
      <c r="AE25" s="70"/>
      <c r="AF25" s="67"/>
      <c r="AG25" s="71"/>
      <c r="AH25" s="68"/>
      <c r="AI25" s="72"/>
      <c r="AJ25" s="73"/>
      <c r="AK25" s="65">
        <v>1</v>
      </c>
      <c r="AL25" s="66"/>
      <c r="AM25" s="67"/>
      <c r="AN25" s="68"/>
      <c r="AO25" s="69"/>
      <c r="AP25" s="70"/>
      <c r="AQ25" s="67"/>
      <c r="AR25" s="71"/>
      <c r="AS25" s="68"/>
      <c r="AT25" s="72"/>
      <c r="AU25" s="73"/>
      <c r="AV25" s="65">
        <v>1</v>
      </c>
      <c r="AW25" s="66"/>
      <c r="AX25" s="67">
        <v>1</v>
      </c>
      <c r="AY25" s="68"/>
      <c r="AZ25" s="69"/>
      <c r="BA25" s="70"/>
      <c r="BB25" s="67"/>
      <c r="BC25" s="71"/>
      <c r="BD25" s="68"/>
      <c r="BE25" s="72"/>
      <c r="BF25" s="73"/>
      <c r="BG25" s="65">
        <v>1</v>
      </c>
      <c r="BH25" s="66"/>
      <c r="BI25" s="67">
        <v>1</v>
      </c>
      <c r="BJ25" s="68"/>
      <c r="BK25" s="69"/>
      <c r="BL25" s="70"/>
      <c r="BM25" s="67"/>
      <c r="BN25" s="71"/>
      <c r="BO25" s="68"/>
      <c r="BP25" s="72"/>
      <c r="BQ25" s="73"/>
      <c r="BR25" s="65">
        <v>1</v>
      </c>
      <c r="BS25" s="66"/>
      <c r="BT25" s="67"/>
      <c r="BU25" s="68"/>
      <c r="BV25" s="69"/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>
        <v>1</v>
      </c>
      <c r="E26" s="66"/>
      <c r="F26" s="67"/>
      <c r="G26" s="68"/>
      <c r="H26" s="69"/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/>
      <c r="S26" s="69"/>
      <c r="T26" s="70"/>
      <c r="U26" s="67"/>
      <c r="V26" s="71"/>
      <c r="W26" s="68"/>
      <c r="X26" s="72"/>
      <c r="Y26" s="73"/>
      <c r="Z26" s="65"/>
      <c r="AA26" s="66"/>
      <c r="AB26" s="67">
        <v>1</v>
      </c>
      <c r="AC26" s="68"/>
      <c r="AD26" s="69"/>
      <c r="AE26" s="70"/>
      <c r="AF26" s="67"/>
      <c r="AG26" s="71"/>
      <c r="AH26" s="68"/>
      <c r="AI26" s="72"/>
      <c r="AJ26" s="73"/>
      <c r="AK26" s="65">
        <v>1</v>
      </c>
      <c r="AL26" s="66"/>
      <c r="AM26" s="67">
        <v>1</v>
      </c>
      <c r="AN26" s="68"/>
      <c r="AO26" s="69"/>
      <c r="AP26" s="70"/>
      <c r="AQ26" s="67"/>
      <c r="AR26" s="71"/>
      <c r="AS26" s="68"/>
      <c r="AT26" s="72"/>
      <c r="AU26" s="73"/>
      <c r="AV26" s="65">
        <v>1</v>
      </c>
      <c r="AW26" s="66"/>
      <c r="AX26" s="67">
        <v>1</v>
      </c>
      <c r="AY26" s="68"/>
      <c r="AZ26" s="69"/>
      <c r="BA26" s="70"/>
      <c r="BB26" s="67"/>
      <c r="BC26" s="71"/>
      <c r="BD26" s="68"/>
      <c r="BE26" s="72"/>
      <c r="BF26" s="73"/>
      <c r="BG26" s="65">
        <v>1</v>
      </c>
      <c r="BH26" s="66"/>
      <c r="BI26" s="67">
        <v>1</v>
      </c>
      <c r="BJ26" s="68"/>
      <c r="BK26" s="69"/>
      <c r="BL26" s="70"/>
      <c r="BM26" s="67"/>
      <c r="BN26" s="71"/>
      <c r="BO26" s="68"/>
      <c r="BP26" s="72"/>
      <c r="BQ26" s="73"/>
      <c r="BR26" s="65">
        <v>1</v>
      </c>
      <c r="BS26" s="66"/>
      <c r="BT26" s="67"/>
      <c r="BU26" s="68"/>
      <c r="BV26" s="69"/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>
        <v>1</v>
      </c>
      <c r="E27" s="66"/>
      <c r="F27" s="67"/>
      <c r="G27" s="68"/>
      <c r="H27" s="69"/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/>
      <c r="S27" s="69"/>
      <c r="T27" s="70"/>
      <c r="U27" s="67"/>
      <c r="V27" s="71"/>
      <c r="W27" s="68"/>
      <c r="X27" s="72"/>
      <c r="Y27" s="73"/>
      <c r="Z27" s="65"/>
      <c r="AA27" s="66"/>
      <c r="AB27" s="67">
        <v>1</v>
      </c>
      <c r="AC27" s="68"/>
      <c r="AD27" s="69"/>
      <c r="AE27" s="70"/>
      <c r="AF27" s="67"/>
      <c r="AG27" s="71"/>
      <c r="AH27" s="68"/>
      <c r="AI27" s="72"/>
      <c r="AJ27" s="73"/>
      <c r="AK27" s="65">
        <v>1</v>
      </c>
      <c r="AL27" s="66"/>
      <c r="AM27" s="67">
        <v>1</v>
      </c>
      <c r="AN27" s="68"/>
      <c r="AO27" s="69"/>
      <c r="AP27" s="70"/>
      <c r="AQ27" s="67"/>
      <c r="AR27" s="71"/>
      <c r="AS27" s="68"/>
      <c r="AT27" s="72"/>
      <c r="AU27" s="73"/>
      <c r="AV27" s="65"/>
      <c r="AW27" s="66"/>
      <c r="AX27" s="67">
        <v>1</v>
      </c>
      <c r="AY27" s="68"/>
      <c r="AZ27" s="69"/>
      <c r="BA27" s="70"/>
      <c r="BB27" s="67"/>
      <c r="BC27" s="71"/>
      <c r="BD27" s="68"/>
      <c r="BE27" s="72"/>
      <c r="BF27" s="73"/>
      <c r="BG27" s="65">
        <v>1</v>
      </c>
      <c r="BH27" s="66"/>
      <c r="BI27" s="67">
        <v>1</v>
      </c>
      <c r="BJ27" s="68"/>
      <c r="BK27" s="69"/>
      <c r="BL27" s="70"/>
      <c r="BM27" s="67"/>
      <c r="BN27" s="71"/>
      <c r="BO27" s="68"/>
      <c r="BP27" s="72"/>
      <c r="BQ27" s="73"/>
      <c r="BR27" s="65">
        <v>1</v>
      </c>
      <c r="BS27" s="66"/>
      <c r="BT27" s="67"/>
      <c r="BU27" s="68"/>
      <c r="BV27" s="69"/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>
        <v>1</v>
      </c>
      <c r="E28" s="66"/>
      <c r="F28" s="67"/>
      <c r="G28" s="68"/>
      <c r="H28" s="69"/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/>
      <c r="S28" s="69"/>
      <c r="T28" s="70"/>
      <c r="U28" s="67"/>
      <c r="V28" s="71"/>
      <c r="W28" s="68"/>
      <c r="X28" s="72"/>
      <c r="Y28" s="73"/>
      <c r="Z28" s="65"/>
      <c r="AA28" s="66"/>
      <c r="AB28" s="67">
        <v>1</v>
      </c>
      <c r="AC28" s="68"/>
      <c r="AD28" s="69"/>
      <c r="AE28" s="70"/>
      <c r="AF28" s="67"/>
      <c r="AG28" s="71"/>
      <c r="AH28" s="68"/>
      <c r="AI28" s="72"/>
      <c r="AJ28" s="73"/>
      <c r="AK28" s="65">
        <v>1</v>
      </c>
      <c r="AL28" s="66"/>
      <c r="AM28" s="67"/>
      <c r="AN28" s="68"/>
      <c r="AO28" s="71"/>
      <c r="AP28" s="71"/>
      <c r="AQ28" s="71"/>
      <c r="AR28" s="71"/>
      <c r="AS28" s="68"/>
      <c r="AT28" s="72"/>
      <c r="AU28" s="73"/>
      <c r="AV28" s="65"/>
      <c r="AW28" s="66"/>
      <c r="AX28" s="67">
        <v>1</v>
      </c>
      <c r="AY28" s="68"/>
      <c r="AZ28" s="69"/>
      <c r="BA28" s="70"/>
      <c r="BB28" s="67"/>
      <c r="BC28" s="71"/>
      <c r="BD28" s="68"/>
      <c r="BE28" s="72"/>
      <c r="BF28" s="73"/>
      <c r="BG28" s="65">
        <v>1</v>
      </c>
      <c r="BH28" s="66"/>
      <c r="BI28" s="67">
        <v>1</v>
      </c>
      <c r="BJ28" s="68"/>
      <c r="BK28" s="69"/>
      <c r="BL28" s="70"/>
      <c r="BM28" s="67"/>
      <c r="BN28" s="71"/>
      <c r="BO28" s="68"/>
      <c r="BP28" s="72"/>
      <c r="BQ28" s="73"/>
      <c r="BR28" s="65">
        <v>1</v>
      </c>
      <c r="BS28" s="66"/>
      <c r="BT28" s="67"/>
      <c r="BU28" s="68"/>
      <c r="BV28" s="69"/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24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25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26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27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28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29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30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JOSE</v>
      </c>
      <c r="E33" s="31">
        <f t="shared" si="0"/>
        <v>0</v>
      </c>
      <c r="F33" s="32" t="str">
        <f t="shared" si="0"/>
        <v xml:space="preserve">JHOSELYN </v>
      </c>
      <c r="G33" s="33" t="str">
        <f t="shared" si="0"/>
        <v>SANDRA</v>
      </c>
      <c r="H33" s="34">
        <f t="shared" si="0"/>
        <v>0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JOSE</v>
      </c>
      <c r="P33" s="31">
        <f t="shared" si="1"/>
        <v>0</v>
      </c>
      <c r="Q33" s="32" t="str">
        <f t="shared" si="1"/>
        <v xml:space="preserve">JHOSELYN </v>
      </c>
      <c r="R33" s="33">
        <f t="shared" si="1"/>
        <v>0</v>
      </c>
      <c r="S33" s="34">
        <f t="shared" si="1"/>
        <v>0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JOSE</v>
      </c>
      <c r="AA33" s="31">
        <f t="shared" si="2"/>
        <v>0</v>
      </c>
      <c r="AB33" s="32" t="str">
        <f t="shared" si="2"/>
        <v xml:space="preserve">JHOSELYN </v>
      </c>
      <c r="AC33" s="33">
        <f t="shared" si="2"/>
        <v>0</v>
      </c>
      <c r="AD33" s="34">
        <f t="shared" si="2"/>
        <v>0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JOSE</v>
      </c>
      <c r="AL33" s="31">
        <f t="shared" si="3"/>
        <v>0</v>
      </c>
      <c r="AM33" s="32" t="str">
        <f t="shared" si="3"/>
        <v xml:space="preserve">JHOSELYN </v>
      </c>
      <c r="AN33" s="33">
        <f t="shared" si="3"/>
        <v>0</v>
      </c>
      <c r="AO33" s="34">
        <f t="shared" si="3"/>
        <v>0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JOSE</v>
      </c>
      <c r="AW33" s="31">
        <f t="shared" si="4"/>
        <v>0</v>
      </c>
      <c r="AX33" s="32" t="str">
        <f t="shared" si="4"/>
        <v xml:space="preserve">JHOSELYN </v>
      </c>
      <c r="AY33" s="33">
        <f t="shared" si="4"/>
        <v>0</v>
      </c>
      <c r="AZ33" s="34">
        <f t="shared" si="4"/>
        <v>0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JOSE</v>
      </c>
      <c r="BH33" s="31">
        <f t="shared" si="5"/>
        <v>0</v>
      </c>
      <c r="BI33" s="32" t="str">
        <f t="shared" si="5"/>
        <v xml:space="preserve">JHOSELYN </v>
      </c>
      <c r="BJ33" s="33">
        <f t="shared" si="5"/>
        <v>0</v>
      </c>
      <c r="BK33" s="34">
        <f t="shared" si="5"/>
        <v>0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JOSE</v>
      </c>
      <c r="BS33" s="31">
        <f t="shared" si="6"/>
        <v>0</v>
      </c>
      <c r="BT33" s="32" t="str">
        <f t="shared" si="6"/>
        <v xml:space="preserve">JHOSELYN </v>
      </c>
      <c r="BU33" s="33">
        <f t="shared" si="6"/>
        <v>0</v>
      </c>
      <c r="BV33" s="34">
        <f t="shared" si="6"/>
        <v>0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4</v>
      </c>
      <c r="E34" s="48">
        <f t="shared" ref="E34:M34" si="7">SUM(E7:E30)</f>
        <v>0</v>
      </c>
      <c r="F34" s="49">
        <f t="shared" si="7"/>
        <v>5</v>
      </c>
      <c r="G34" s="50">
        <f t="shared" si="7"/>
        <v>3</v>
      </c>
      <c r="H34" s="51">
        <f t="shared" si="7"/>
        <v>0</v>
      </c>
      <c r="I34" s="52">
        <f t="shared" si="7"/>
        <v>0</v>
      </c>
      <c r="J34" s="49">
        <f t="shared" si="7"/>
        <v>0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8</v>
      </c>
      <c r="P34" s="48">
        <f t="shared" si="8"/>
        <v>0</v>
      </c>
      <c r="Q34" s="49">
        <f t="shared" si="8"/>
        <v>5</v>
      </c>
      <c r="R34" s="50">
        <f t="shared" si="8"/>
        <v>0</v>
      </c>
      <c r="S34" s="51">
        <f t="shared" si="8"/>
        <v>0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7</v>
      </c>
      <c r="AA34" s="48">
        <f t="shared" si="9"/>
        <v>0</v>
      </c>
      <c r="AB34" s="49">
        <f t="shared" si="9"/>
        <v>5</v>
      </c>
      <c r="AC34" s="50">
        <f t="shared" si="9"/>
        <v>0</v>
      </c>
      <c r="AD34" s="51">
        <f t="shared" si="9"/>
        <v>0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4</v>
      </c>
      <c r="AL34" s="48">
        <f t="shared" si="10"/>
        <v>0</v>
      </c>
      <c r="AM34" s="49">
        <f t="shared" si="10"/>
        <v>5</v>
      </c>
      <c r="AN34" s="50">
        <f t="shared" si="10"/>
        <v>0</v>
      </c>
      <c r="AO34" s="51">
        <f t="shared" si="10"/>
        <v>0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5</v>
      </c>
      <c r="AW34" s="48">
        <f t="shared" si="11"/>
        <v>0</v>
      </c>
      <c r="AX34" s="49">
        <f t="shared" si="11"/>
        <v>4</v>
      </c>
      <c r="AY34" s="50">
        <f t="shared" si="11"/>
        <v>0</v>
      </c>
      <c r="AZ34" s="51">
        <f t="shared" si="11"/>
        <v>0</v>
      </c>
      <c r="BA34" s="52">
        <f t="shared" si="11"/>
        <v>0.5</v>
      </c>
      <c r="BB34" s="49">
        <f t="shared" si="11"/>
        <v>0.5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5</v>
      </c>
      <c r="BH34" s="48">
        <f t="shared" si="12"/>
        <v>0</v>
      </c>
      <c r="BI34" s="49">
        <f t="shared" si="12"/>
        <v>6</v>
      </c>
      <c r="BJ34" s="50">
        <f t="shared" si="12"/>
        <v>0</v>
      </c>
      <c r="BK34" s="51">
        <f t="shared" si="12"/>
        <v>0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11</v>
      </c>
      <c r="BS34" s="48">
        <f t="shared" si="13"/>
        <v>0</v>
      </c>
      <c r="BT34" s="49">
        <f t="shared" si="13"/>
        <v>0</v>
      </c>
      <c r="BU34" s="50">
        <f t="shared" si="13"/>
        <v>0</v>
      </c>
      <c r="BV34" s="51">
        <f t="shared" si="13"/>
        <v>0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45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44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/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0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46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30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/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3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/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0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0.5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0.5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G32:BP32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  <mergeCell ref="AV32:BE32"/>
    <mergeCell ref="L35:L36"/>
    <mergeCell ref="M35:M36"/>
    <mergeCell ref="O35:O36"/>
    <mergeCell ref="P35:P36"/>
    <mergeCell ref="Q35:Q36"/>
    <mergeCell ref="AE35:AE36"/>
    <mergeCell ref="S35:S36"/>
    <mergeCell ref="T35:T36"/>
    <mergeCell ref="U35:U36"/>
    <mergeCell ref="V35:V36"/>
    <mergeCell ref="W35:W36"/>
    <mergeCell ref="X35:X36"/>
    <mergeCell ref="Z35:Z36"/>
    <mergeCell ref="AA35:AA36"/>
    <mergeCell ref="AB35:AB36"/>
    <mergeCell ref="AC35:AC36"/>
    <mergeCell ref="AD35:AD36"/>
    <mergeCell ref="AR35:AR36"/>
    <mergeCell ref="AF35:AF36"/>
    <mergeCell ref="AG35:AG36"/>
    <mergeCell ref="AH35:AH36"/>
    <mergeCell ref="AI35:AI36"/>
    <mergeCell ref="AK35:AK36"/>
    <mergeCell ref="AL35:AL36"/>
    <mergeCell ref="AM35:AM36"/>
    <mergeCell ref="AN35:AN36"/>
    <mergeCell ref="AO35:AO36"/>
    <mergeCell ref="AP35:AP36"/>
    <mergeCell ref="AQ35:AQ36"/>
    <mergeCell ref="BE35:BE36"/>
    <mergeCell ref="AS35:AS36"/>
    <mergeCell ref="AT35:AT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41:J41"/>
    <mergeCell ref="L41:N41"/>
    <mergeCell ref="B42:J42"/>
    <mergeCell ref="L42:N42"/>
    <mergeCell ref="B43:J43"/>
    <mergeCell ref="L43:N43"/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</mergeCells>
  <conditionalFormatting sqref="D7:M14 D29:M30">
    <cfRule type="expression" dxfId="25" priority="13">
      <formula>IF(OR(D7=0,D7=""),TRUE(),FALSE())</formula>
    </cfRule>
  </conditionalFormatting>
  <conditionalFormatting sqref="BG16:BN16 BP16 BG15:BP15 D15:M28 BG17:BP28">
    <cfRule type="expression" dxfId="24" priority="12">
      <formula>IF(OR(D15=0,D15=""),TRUE(),FALSE())</formula>
    </cfRule>
  </conditionalFormatting>
  <conditionalFormatting sqref="O7:X14 O29:X30">
    <cfRule type="expression" dxfId="23" priority="11">
      <formula>IF(OR(O7=0,O7=""),TRUE(),FALSE())</formula>
    </cfRule>
  </conditionalFormatting>
  <conditionalFormatting sqref="O15:X28">
    <cfRule type="expression" dxfId="22" priority="10">
      <formula>IF(OR(O15=0,O15=""),TRUE(),FALSE())</formula>
    </cfRule>
  </conditionalFormatting>
  <conditionalFormatting sqref="Z7:AI14 Z29:AI30">
    <cfRule type="expression" dxfId="21" priority="9">
      <formula>IF(OR(Z7=0,Z7=""),TRUE(),FALSE())</formula>
    </cfRule>
  </conditionalFormatting>
  <conditionalFormatting sqref="Z15:AI28">
    <cfRule type="expression" dxfId="20" priority="8">
      <formula>IF(OR(Z15=0,Z15=""),TRUE(),FALSE())</formula>
    </cfRule>
  </conditionalFormatting>
  <conditionalFormatting sqref="AK7:AT14 AK29:AT30">
    <cfRule type="expression" dxfId="19" priority="7">
      <formula>IF(OR(AK7=0,AK7=""),TRUE(),FALSE())</formula>
    </cfRule>
  </conditionalFormatting>
  <conditionalFormatting sqref="AK15:AT28">
    <cfRule type="expression" dxfId="18" priority="6">
      <formula>IF(OR(AK15=0,AK15=""),TRUE(),FALSE())</formula>
    </cfRule>
  </conditionalFormatting>
  <conditionalFormatting sqref="AV7:BE14 AV29:BE30">
    <cfRule type="expression" dxfId="17" priority="5">
      <formula>IF(OR(AV7=0,AV7=""),TRUE(),FALSE())</formula>
    </cfRule>
  </conditionalFormatting>
  <conditionalFormatting sqref="AV15:BE28">
    <cfRule type="expression" dxfId="16" priority="4">
      <formula>IF(OR(AV15=0,AV15=""),TRUE(),FALSE())</formula>
    </cfRule>
  </conditionalFormatting>
  <conditionalFormatting sqref="BG7:BP14 BG29:BP30">
    <cfRule type="expression" dxfId="15" priority="3">
      <formula>IF(OR(BG7=0,BG7=""),TRUE(),FALSE())</formula>
    </cfRule>
  </conditionalFormatting>
  <conditionalFormatting sqref="BR7:CA14 BR29:CA30">
    <cfRule type="expression" dxfId="14" priority="2">
      <formula>IF(OR(BR7=0,BR7=""),TRUE(),FALSE())</formula>
    </cfRule>
  </conditionalFormatting>
  <conditionalFormatting sqref="BR15:CA28">
    <cfRule type="expression" dxfId="13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R7:CA30 BG7:BP15 BG17:BP30 BG16:BN16 BP16" xr:uid="{B399C77B-B40F-4FD2-A68D-2FC4E3655693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5B442-0B71-4378-9DFC-E059EA125EAB}">
  <sheetPr codeName="Hoja28"/>
  <dimension ref="A1:CA48"/>
  <sheetViews>
    <sheetView showGridLines="0" tabSelected="1" zoomScale="78" zoomScaleNormal="78" workbookViewId="0">
      <selection activeCell="G17" sqref="G17"/>
    </sheetView>
  </sheetViews>
  <sheetFormatPr baseColWidth="10" defaultRowHeight="15" x14ac:dyDescent="0.25"/>
  <cols>
    <col min="1" max="1" width="1.5703125" style="5" customWidth="1"/>
    <col min="2" max="2" width="9.28515625" style="5" customWidth="1"/>
    <col min="3" max="3" width="12.5703125" style="5" customWidth="1"/>
    <col min="4" max="7" width="4.5703125" style="5" customWidth="1"/>
    <col min="8" max="8" width="4.7109375" style="5" customWidth="1"/>
    <col min="9" max="10" width="4.5703125" style="5" hidden="1" customWidth="1"/>
    <col min="11" max="12" width="4.5703125" style="5" customWidth="1"/>
    <col min="13" max="13" width="4.5703125" style="5" hidden="1" customWidth="1"/>
    <col min="14" max="14" width="3.85546875" style="5" customWidth="1"/>
    <col min="15" max="19" width="4.5703125" style="5" customWidth="1"/>
    <col min="20" max="21" width="4.5703125" style="5" hidden="1" customWidth="1"/>
    <col min="22" max="23" width="4.5703125" style="5" customWidth="1"/>
    <col min="24" max="24" width="4.5703125" style="5" hidden="1" customWidth="1"/>
    <col min="25" max="25" width="3.85546875" style="5" customWidth="1"/>
    <col min="26" max="30" width="4.5703125" style="5" customWidth="1"/>
    <col min="31" max="32" width="4.5703125" style="5" hidden="1" customWidth="1"/>
    <col min="33" max="34" width="4.5703125" style="5" customWidth="1"/>
    <col min="35" max="35" width="4.5703125" style="5" hidden="1" customWidth="1"/>
    <col min="36" max="36" width="3.85546875" style="5" customWidth="1"/>
    <col min="37" max="41" width="4.5703125" style="5" customWidth="1"/>
    <col min="42" max="43" width="4.5703125" style="5" hidden="1" customWidth="1"/>
    <col min="44" max="45" width="4.5703125" style="5" customWidth="1"/>
    <col min="46" max="46" width="4.5703125" style="5" hidden="1" customWidth="1"/>
    <col min="47" max="47" width="3.85546875" style="5" customWidth="1"/>
    <col min="48" max="52" width="4.5703125" style="5" customWidth="1"/>
    <col min="53" max="54" width="4.5703125" style="5" hidden="1" customWidth="1"/>
    <col min="55" max="56" width="4.5703125" style="5" customWidth="1"/>
    <col min="57" max="57" width="4.5703125" style="5" hidden="1" customWidth="1"/>
    <col min="58" max="58" width="3.85546875" style="5" customWidth="1"/>
    <col min="59" max="63" width="4.5703125" style="5" customWidth="1"/>
    <col min="64" max="65" width="4.5703125" style="5" hidden="1" customWidth="1"/>
    <col min="66" max="67" width="4.5703125" style="5" customWidth="1"/>
    <col min="68" max="68" width="4.5703125" style="5" hidden="1" customWidth="1"/>
    <col min="69" max="69" width="3.85546875" style="5" customWidth="1"/>
    <col min="70" max="74" width="4.5703125" style="5" customWidth="1"/>
    <col min="75" max="76" width="4.5703125" style="5" hidden="1" customWidth="1"/>
    <col min="77" max="78" width="4.5703125" style="5" customWidth="1"/>
    <col min="79" max="79" width="4.5703125" style="5" hidden="1" customWidth="1"/>
    <col min="80" max="16384" width="11.42578125" style="5"/>
  </cols>
  <sheetData>
    <row r="1" spans="1:79" ht="18.75" x14ac:dyDescent="0.3">
      <c r="A1" s="2" t="s">
        <v>0</v>
      </c>
      <c r="B1" s="3"/>
      <c r="C1" s="3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</row>
    <row r="2" spans="1:79" ht="45" customHeight="1" x14ac:dyDescent="0.25">
      <c r="A2" s="80" t="s">
        <v>1</v>
      </c>
      <c r="B2" s="7"/>
      <c r="C2" s="7"/>
      <c r="D2" s="64" t="str">
        <f>UPPER(CONCATENATE("HORARIO ",TEXT(DAY(C5),"00")," DE ",TEXT(C5,"mmmm")," AL ",TEXT(DAY(C5+6),"00")," DE ",TEXT(C5+6,"mmmm")))</f>
        <v>HORARIO 31 DE AGOSTO AL 06 DE SETIEMBRE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</row>
    <row r="3" spans="1:79" x14ac:dyDescent="0.25">
      <c r="A3" s="6"/>
    </row>
    <row r="5" spans="1:79" ht="38.25" customHeight="1" x14ac:dyDescent="0.4">
      <c r="B5" s="79" t="s">
        <v>11</v>
      </c>
      <c r="C5" s="41">
        <v>46265</v>
      </c>
      <c r="D5" s="63" t="str">
        <f>CONCATENATE("Lunes ",TEXT(DAY(C5),"00"))</f>
        <v>Lunes 31</v>
      </c>
      <c r="E5" s="63"/>
      <c r="F5" s="63"/>
      <c r="G5" s="63"/>
      <c r="H5" s="63"/>
      <c r="I5" s="63"/>
      <c r="J5" s="63"/>
      <c r="K5" s="63"/>
      <c r="L5" s="63"/>
      <c r="M5" s="63"/>
      <c r="N5" s="44"/>
      <c r="O5" s="63" t="str">
        <f>CONCATENATE("Martes ",TEXT(DAY(C5+1),"00"))</f>
        <v>Martes 01</v>
      </c>
      <c r="P5" s="63"/>
      <c r="Q5" s="63"/>
      <c r="R5" s="63"/>
      <c r="S5" s="63"/>
      <c r="T5" s="63"/>
      <c r="U5" s="63"/>
      <c r="V5" s="63"/>
      <c r="W5" s="63"/>
      <c r="X5" s="63"/>
      <c r="Y5" s="44"/>
      <c r="Z5" s="63" t="str">
        <f>CONCATENATE("Miercoles ",TEXT(DAY(C5+2),"00"))</f>
        <v>Miercoles 02</v>
      </c>
      <c r="AA5" s="63"/>
      <c r="AB5" s="63"/>
      <c r="AC5" s="63"/>
      <c r="AD5" s="63"/>
      <c r="AE5" s="63"/>
      <c r="AF5" s="63"/>
      <c r="AG5" s="63"/>
      <c r="AH5" s="63"/>
      <c r="AI5" s="63"/>
      <c r="AJ5" s="44"/>
      <c r="AK5" s="63" t="str">
        <f>CONCATENATE("Jueves ",TEXT(DAY(C5+3),"00"))</f>
        <v>Jueves 03</v>
      </c>
      <c r="AL5" s="63"/>
      <c r="AM5" s="63"/>
      <c r="AN5" s="63"/>
      <c r="AO5" s="63"/>
      <c r="AP5" s="63"/>
      <c r="AQ5" s="63"/>
      <c r="AR5" s="63"/>
      <c r="AS5" s="63"/>
      <c r="AT5" s="63"/>
      <c r="AU5" s="44"/>
      <c r="AV5" s="63" t="str">
        <f>CONCATENATE("Viernes ",TEXT(DAY(C5+4),"00"))</f>
        <v>Viernes 04</v>
      </c>
      <c r="AW5" s="63"/>
      <c r="AX5" s="63"/>
      <c r="AY5" s="63"/>
      <c r="AZ5" s="63"/>
      <c r="BA5" s="63"/>
      <c r="BB5" s="63"/>
      <c r="BC5" s="63"/>
      <c r="BD5" s="63"/>
      <c r="BE5" s="63"/>
      <c r="BF5" s="44"/>
      <c r="BG5" s="63" t="str">
        <f>CONCATENATE("Sábado ",TEXT(DAY(C5+5),"00"))</f>
        <v>Sábado 05</v>
      </c>
      <c r="BH5" s="63"/>
      <c r="BI5" s="63"/>
      <c r="BJ5" s="63"/>
      <c r="BK5" s="63"/>
      <c r="BL5" s="63"/>
      <c r="BM5" s="63"/>
      <c r="BN5" s="63"/>
      <c r="BO5" s="63"/>
      <c r="BP5" s="63"/>
      <c r="BQ5" s="44"/>
      <c r="BR5" s="63" t="str">
        <f>CONCATENATE("Domingo ",TEXT(DAY(C5+6),"00"))</f>
        <v>Domingo 06</v>
      </c>
      <c r="BS5" s="63"/>
      <c r="BT5" s="63"/>
      <c r="BU5" s="63"/>
      <c r="BV5" s="63"/>
      <c r="BW5" s="63"/>
      <c r="BX5" s="63"/>
      <c r="BY5" s="63"/>
      <c r="BZ5" s="63"/>
      <c r="CA5" s="63"/>
    </row>
    <row r="6" spans="1:79" ht="61.5" customHeight="1" x14ac:dyDescent="0.25">
      <c r="D6" s="8" t="s">
        <v>44</v>
      </c>
      <c r="E6" s="9"/>
      <c r="F6" s="10" t="s">
        <v>43</v>
      </c>
      <c r="G6" s="11"/>
      <c r="H6" s="12"/>
      <c r="I6" s="13"/>
      <c r="J6" s="10"/>
      <c r="K6" s="14"/>
      <c r="L6" s="11"/>
      <c r="M6" s="15"/>
      <c r="O6" s="8" t="str">
        <f>D6</f>
        <v>JOSE</v>
      </c>
      <c r="P6" s="9"/>
      <c r="Q6" s="10" t="str">
        <f>F6</f>
        <v xml:space="preserve">JHOSELYN </v>
      </c>
      <c r="R6" s="11"/>
      <c r="S6" s="12"/>
      <c r="T6" s="13"/>
      <c r="U6" s="10"/>
      <c r="V6" s="14"/>
      <c r="W6" s="11"/>
      <c r="X6" s="15"/>
      <c r="Z6" s="8" t="str">
        <f>O6</f>
        <v>JOSE</v>
      </c>
      <c r="AA6" s="9"/>
      <c r="AB6" s="10" t="str">
        <f>Q6</f>
        <v xml:space="preserve">JHOSELYN </v>
      </c>
      <c r="AC6" s="11"/>
      <c r="AD6" s="12"/>
      <c r="AE6" s="13"/>
      <c r="AF6" s="10"/>
      <c r="AG6" s="14"/>
      <c r="AH6" s="11"/>
      <c r="AI6" s="15"/>
      <c r="AK6" s="8" t="str">
        <f>Z6</f>
        <v>JOSE</v>
      </c>
      <c r="AL6" s="9"/>
      <c r="AM6" s="10" t="str">
        <f>Q6</f>
        <v xml:space="preserve">JHOSELYN </v>
      </c>
      <c r="AN6" s="11"/>
      <c r="AO6" s="12"/>
      <c r="AP6" s="13"/>
      <c r="AQ6" s="10"/>
      <c r="AR6" s="14"/>
      <c r="AS6" s="11"/>
      <c r="AT6" s="15"/>
      <c r="AV6" s="8" t="str">
        <f>AK6</f>
        <v>JOSE</v>
      </c>
      <c r="AW6" s="9"/>
      <c r="AX6" s="10" t="str">
        <f>AB6</f>
        <v xml:space="preserve">JHOSELYN </v>
      </c>
      <c r="AY6" s="11"/>
      <c r="AZ6" s="12"/>
      <c r="BA6" s="13"/>
      <c r="BB6" s="10"/>
      <c r="BC6" s="14"/>
      <c r="BD6" s="11"/>
      <c r="BE6" s="15"/>
      <c r="BG6" s="8" t="str">
        <f>AV6</f>
        <v>JOSE</v>
      </c>
      <c r="BH6" s="9"/>
      <c r="BI6" s="10" t="str">
        <f>AX6</f>
        <v xml:space="preserve">JHOSELYN </v>
      </c>
      <c r="BJ6" s="11"/>
      <c r="BK6" s="12"/>
      <c r="BL6" s="13"/>
      <c r="BM6" s="10"/>
      <c r="BN6" s="14"/>
      <c r="BO6" s="11"/>
      <c r="BP6" s="15"/>
      <c r="BR6" s="8" t="str">
        <f>AV6</f>
        <v>JOSE</v>
      </c>
      <c r="BS6" s="9"/>
      <c r="BT6" s="10" t="str">
        <f>AX6</f>
        <v xml:space="preserve">JHOSELYN </v>
      </c>
      <c r="BU6" s="11"/>
      <c r="BV6" s="12"/>
      <c r="BW6" s="13"/>
      <c r="BX6" s="10"/>
      <c r="BY6" s="14"/>
      <c r="BZ6" s="11"/>
      <c r="CA6" s="15"/>
    </row>
    <row r="7" spans="1:79" ht="15" hidden="1" customHeight="1" x14ac:dyDescent="0.25">
      <c r="A7" s="3"/>
      <c r="B7" s="43">
        <v>0.999999999999999</v>
      </c>
      <c r="C7" s="43">
        <v>1.0416666666666701</v>
      </c>
      <c r="D7" s="16"/>
      <c r="E7" s="17"/>
      <c r="F7" s="18"/>
      <c r="G7" s="19"/>
      <c r="H7" s="20"/>
      <c r="I7" s="21"/>
      <c r="J7" s="18"/>
      <c r="K7" s="22"/>
      <c r="L7" s="19"/>
      <c r="M7" s="23"/>
      <c r="N7" s="24"/>
      <c r="O7" s="16"/>
      <c r="P7" s="17"/>
      <c r="Q7" s="18"/>
      <c r="R7" s="19"/>
      <c r="S7" s="20"/>
      <c r="T7" s="21"/>
      <c r="U7" s="18"/>
      <c r="V7" s="22"/>
      <c r="W7" s="19"/>
      <c r="X7" s="23"/>
      <c r="Y7" s="24"/>
      <c r="Z7" s="16"/>
      <c r="AA7" s="17"/>
      <c r="AB7" s="18"/>
      <c r="AC7" s="19"/>
      <c r="AD7" s="20"/>
      <c r="AE7" s="21"/>
      <c r="AF7" s="18"/>
      <c r="AG7" s="22"/>
      <c r="AH7" s="19"/>
      <c r="AI7" s="23"/>
      <c r="AJ7" s="24"/>
      <c r="AK7" s="16"/>
      <c r="AL7" s="17"/>
      <c r="AM7" s="18"/>
      <c r="AN7" s="19"/>
      <c r="AO7" s="20"/>
      <c r="AP7" s="21"/>
      <c r="AQ7" s="18"/>
      <c r="AR7" s="22"/>
      <c r="AS7" s="19"/>
      <c r="AT7" s="23"/>
      <c r="AU7" s="24"/>
      <c r="AV7" s="16"/>
      <c r="AW7" s="17"/>
      <c r="AX7" s="18"/>
      <c r="AY7" s="19"/>
      <c r="AZ7" s="20"/>
      <c r="BA7" s="21"/>
      <c r="BB7" s="18"/>
      <c r="BC7" s="22"/>
      <c r="BD7" s="19"/>
      <c r="BE7" s="23"/>
      <c r="BF7" s="24"/>
      <c r="BG7" s="16"/>
      <c r="BH7" s="17"/>
      <c r="BI7" s="18"/>
      <c r="BJ7" s="19"/>
      <c r="BK7" s="20"/>
      <c r="BL7" s="21"/>
      <c r="BM7" s="18"/>
      <c r="BN7" s="22"/>
      <c r="BO7" s="19"/>
      <c r="BP7" s="23"/>
      <c r="BQ7" s="24"/>
      <c r="BR7" s="16"/>
      <c r="BS7" s="17"/>
      <c r="BT7" s="18"/>
      <c r="BU7" s="19"/>
      <c r="BV7" s="20"/>
      <c r="BW7" s="21"/>
      <c r="BX7" s="18"/>
      <c r="BY7" s="22"/>
      <c r="BZ7" s="19"/>
      <c r="CA7" s="23"/>
    </row>
    <row r="8" spans="1:79" ht="15" hidden="1" customHeight="1" x14ac:dyDescent="0.25">
      <c r="A8" s="3"/>
      <c r="B8" s="43">
        <v>1.0416666666666601</v>
      </c>
      <c r="C8" s="43">
        <v>1.0833333333333399</v>
      </c>
      <c r="D8" s="16"/>
      <c r="E8" s="17"/>
      <c r="F8" s="18"/>
      <c r="G8" s="19"/>
      <c r="H8" s="20"/>
      <c r="I8" s="21"/>
      <c r="J8" s="18"/>
      <c r="K8" s="22"/>
      <c r="L8" s="19"/>
      <c r="M8" s="23"/>
      <c r="N8" s="24"/>
      <c r="O8" s="16"/>
      <c r="P8" s="17"/>
      <c r="Q8" s="18"/>
      <c r="R8" s="19"/>
      <c r="S8" s="20"/>
      <c r="T8" s="21"/>
      <c r="U8" s="18"/>
      <c r="V8" s="22"/>
      <c r="W8" s="19"/>
      <c r="X8" s="23"/>
      <c r="Y8" s="24"/>
      <c r="Z8" s="16"/>
      <c r="AA8" s="17"/>
      <c r="AB8" s="18"/>
      <c r="AC8" s="19"/>
      <c r="AD8" s="20"/>
      <c r="AE8" s="21"/>
      <c r="AF8" s="18"/>
      <c r="AG8" s="22"/>
      <c r="AH8" s="19"/>
      <c r="AI8" s="23"/>
      <c r="AJ8" s="24"/>
      <c r="AK8" s="16"/>
      <c r="AL8" s="17"/>
      <c r="AM8" s="18"/>
      <c r="AN8" s="19"/>
      <c r="AO8" s="20"/>
      <c r="AP8" s="21"/>
      <c r="AQ8" s="18"/>
      <c r="AR8" s="22"/>
      <c r="AS8" s="19"/>
      <c r="AT8" s="23"/>
      <c r="AU8" s="24"/>
      <c r="AV8" s="16"/>
      <c r="AW8" s="17"/>
      <c r="AX8" s="18"/>
      <c r="AY8" s="19"/>
      <c r="AZ8" s="20"/>
      <c r="BA8" s="21"/>
      <c r="BB8" s="18"/>
      <c r="BC8" s="22"/>
      <c r="BD8" s="19"/>
      <c r="BE8" s="23"/>
      <c r="BF8" s="24"/>
      <c r="BG8" s="16"/>
      <c r="BH8" s="17"/>
      <c r="BI8" s="18"/>
      <c r="BJ8" s="19"/>
      <c r="BK8" s="20"/>
      <c r="BL8" s="21"/>
      <c r="BM8" s="18"/>
      <c r="BN8" s="22"/>
      <c r="BO8" s="19"/>
      <c r="BP8" s="23"/>
      <c r="BQ8" s="24"/>
      <c r="BR8" s="16"/>
      <c r="BS8" s="17"/>
      <c r="BT8" s="18"/>
      <c r="BU8" s="19"/>
      <c r="BV8" s="20"/>
      <c r="BW8" s="21"/>
      <c r="BX8" s="18"/>
      <c r="BY8" s="22"/>
      <c r="BZ8" s="19"/>
      <c r="CA8" s="23"/>
    </row>
    <row r="9" spans="1:79" ht="15" hidden="1" customHeight="1" x14ac:dyDescent="0.25">
      <c r="A9" s="3"/>
      <c r="B9" s="43">
        <v>1.0833333333333299</v>
      </c>
      <c r="C9" s="43">
        <v>1.125</v>
      </c>
      <c r="D9" s="16"/>
      <c r="E9" s="17"/>
      <c r="F9" s="18"/>
      <c r="G9" s="19"/>
      <c r="H9" s="20"/>
      <c r="I9" s="21"/>
      <c r="J9" s="18"/>
      <c r="K9" s="22"/>
      <c r="L9" s="19"/>
      <c r="M9" s="23"/>
      <c r="N9" s="24"/>
      <c r="O9" s="16"/>
      <c r="P9" s="17"/>
      <c r="Q9" s="18"/>
      <c r="R9" s="19"/>
      <c r="S9" s="20"/>
      <c r="T9" s="21"/>
      <c r="U9" s="18"/>
      <c r="V9" s="22"/>
      <c r="W9" s="19"/>
      <c r="X9" s="23"/>
      <c r="Y9" s="24"/>
      <c r="Z9" s="16"/>
      <c r="AA9" s="17"/>
      <c r="AB9" s="18"/>
      <c r="AC9" s="19"/>
      <c r="AD9" s="20"/>
      <c r="AE9" s="21"/>
      <c r="AF9" s="18"/>
      <c r="AG9" s="22"/>
      <c r="AH9" s="19"/>
      <c r="AI9" s="23"/>
      <c r="AJ9" s="24"/>
      <c r="AK9" s="16"/>
      <c r="AL9" s="17"/>
      <c r="AM9" s="18"/>
      <c r="AN9" s="19"/>
      <c r="AO9" s="20"/>
      <c r="AP9" s="21"/>
      <c r="AQ9" s="18"/>
      <c r="AR9" s="22"/>
      <c r="AS9" s="19"/>
      <c r="AT9" s="23"/>
      <c r="AU9" s="24"/>
      <c r="AV9" s="16"/>
      <c r="AW9" s="17"/>
      <c r="AX9" s="18"/>
      <c r="AY9" s="19"/>
      <c r="AZ9" s="20"/>
      <c r="BA9" s="21"/>
      <c r="BB9" s="18"/>
      <c r="BC9" s="22"/>
      <c r="BD9" s="19"/>
      <c r="BE9" s="23"/>
      <c r="BF9" s="24"/>
      <c r="BG9" s="16"/>
      <c r="BH9" s="17"/>
      <c r="BI9" s="18"/>
      <c r="BJ9" s="19"/>
      <c r="BK9" s="20"/>
      <c r="BL9" s="21"/>
      <c r="BM9" s="18"/>
      <c r="BN9" s="22"/>
      <c r="BO9" s="19"/>
      <c r="BP9" s="23"/>
      <c r="BQ9" s="24"/>
      <c r="BR9" s="16"/>
      <c r="BS9" s="17"/>
      <c r="BT9" s="18"/>
      <c r="BU9" s="19"/>
      <c r="BV9" s="20"/>
      <c r="BW9" s="21"/>
      <c r="BX9" s="18"/>
      <c r="BY9" s="22"/>
      <c r="BZ9" s="19"/>
      <c r="CA9" s="23"/>
    </row>
    <row r="10" spans="1:79" ht="15" hidden="1" customHeight="1" x14ac:dyDescent="0.25">
      <c r="A10" s="3"/>
      <c r="B10" s="43">
        <v>1.125</v>
      </c>
      <c r="C10" s="43">
        <v>1.1666666666666601</v>
      </c>
      <c r="D10" s="16"/>
      <c r="E10" s="17"/>
      <c r="F10" s="18"/>
      <c r="G10" s="19"/>
      <c r="H10" s="20"/>
      <c r="I10" s="21"/>
      <c r="J10" s="18"/>
      <c r="K10" s="22"/>
      <c r="L10" s="19"/>
      <c r="M10" s="23"/>
      <c r="N10" s="24"/>
      <c r="O10" s="16"/>
      <c r="P10" s="17"/>
      <c r="Q10" s="18"/>
      <c r="R10" s="19"/>
      <c r="S10" s="20"/>
      <c r="T10" s="21"/>
      <c r="U10" s="18"/>
      <c r="V10" s="22"/>
      <c r="W10" s="19"/>
      <c r="X10" s="23"/>
      <c r="Y10" s="24"/>
      <c r="Z10" s="16"/>
      <c r="AA10" s="17"/>
      <c r="AB10" s="18"/>
      <c r="AC10" s="19"/>
      <c r="AD10" s="20"/>
      <c r="AE10" s="21"/>
      <c r="AF10" s="18"/>
      <c r="AG10" s="22"/>
      <c r="AH10" s="19"/>
      <c r="AI10" s="23"/>
      <c r="AJ10" s="24"/>
      <c r="AK10" s="16"/>
      <c r="AL10" s="17"/>
      <c r="AM10" s="18"/>
      <c r="AN10" s="19"/>
      <c r="AO10" s="20"/>
      <c r="AP10" s="21"/>
      <c r="AQ10" s="18"/>
      <c r="AR10" s="22"/>
      <c r="AS10" s="19"/>
      <c r="AT10" s="23"/>
      <c r="AU10" s="24"/>
      <c r="AV10" s="16"/>
      <c r="AW10" s="17"/>
      <c r="AX10" s="18"/>
      <c r="AY10" s="19"/>
      <c r="AZ10" s="20"/>
      <c r="BA10" s="21"/>
      <c r="BB10" s="18"/>
      <c r="BC10" s="22"/>
      <c r="BD10" s="19"/>
      <c r="BE10" s="23"/>
      <c r="BF10" s="24"/>
      <c r="BG10" s="16"/>
      <c r="BH10" s="17"/>
      <c r="BI10" s="18"/>
      <c r="BJ10" s="19"/>
      <c r="BK10" s="20"/>
      <c r="BL10" s="21"/>
      <c r="BM10" s="18"/>
      <c r="BN10" s="22"/>
      <c r="BO10" s="19"/>
      <c r="BP10" s="23"/>
      <c r="BQ10" s="24"/>
      <c r="BR10" s="16"/>
      <c r="BS10" s="17"/>
      <c r="BT10" s="18"/>
      <c r="BU10" s="19"/>
      <c r="BV10" s="20"/>
      <c r="BW10" s="21"/>
      <c r="BX10" s="18"/>
      <c r="BY10" s="22"/>
      <c r="BZ10" s="19"/>
      <c r="CA10" s="23"/>
    </row>
    <row r="11" spans="1:79" ht="15" hidden="1" customHeight="1" x14ac:dyDescent="0.25">
      <c r="A11" s="3"/>
      <c r="B11" s="43">
        <v>1.1666666666666701</v>
      </c>
      <c r="C11" s="43">
        <v>1.2083333333333199</v>
      </c>
      <c r="D11" s="16"/>
      <c r="E11" s="17"/>
      <c r="F11" s="18"/>
      <c r="G11" s="19"/>
      <c r="H11" s="20"/>
      <c r="I11" s="21"/>
      <c r="J11" s="18"/>
      <c r="K11" s="22"/>
      <c r="L11" s="19"/>
      <c r="M11" s="23"/>
      <c r="N11" s="24"/>
      <c r="O11" s="16"/>
      <c r="P11" s="17"/>
      <c r="Q11" s="18"/>
      <c r="R11" s="19"/>
      <c r="S11" s="20"/>
      <c r="T11" s="21"/>
      <c r="U11" s="18"/>
      <c r="V11" s="22"/>
      <c r="W11" s="19"/>
      <c r="X11" s="23"/>
      <c r="Y11" s="24"/>
      <c r="Z11" s="16"/>
      <c r="AA11" s="17"/>
      <c r="AB11" s="18"/>
      <c r="AC11" s="19"/>
      <c r="AD11" s="20"/>
      <c r="AE11" s="21"/>
      <c r="AF11" s="18"/>
      <c r="AG11" s="22"/>
      <c r="AH11" s="19"/>
      <c r="AI11" s="23"/>
      <c r="AJ11" s="24"/>
      <c r="AK11" s="16"/>
      <c r="AL11" s="17"/>
      <c r="AM11" s="18"/>
      <c r="AN11" s="19"/>
      <c r="AO11" s="20"/>
      <c r="AP11" s="21"/>
      <c r="AQ11" s="18"/>
      <c r="AR11" s="22"/>
      <c r="AS11" s="19"/>
      <c r="AT11" s="23"/>
      <c r="AU11" s="24"/>
      <c r="AV11" s="16"/>
      <c r="AW11" s="17"/>
      <c r="AX11" s="18"/>
      <c r="AY11" s="19"/>
      <c r="AZ11" s="20"/>
      <c r="BA11" s="21"/>
      <c r="BB11" s="18"/>
      <c r="BC11" s="22"/>
      <c r="BD11" s="19"/>
      <c r="BE11" s="23"/>
      <c r="BF11" s="24"/>
      <c r="BG11" s="16"/>
      <c r="BH11" s="17"/>
      <c r="BI11" s="18"/>
      <c r="BJ11" s="19"/>
      <c r="BK11" s="20"/>
      <c r="BL11" s="21"/>
      <c r="BM11" s="18"/>
      <c r="BN11" s="22"/>
      <c r="BO11" s="19"/>
      <c r="BP11" s="23"/>
      <c r="BQ11" s="24"/>
      <c r="BR11" s="16"/>
      <c r="BS11" s="17"/>
      <c r="BT11" s="18"/>
      <c r="BU11" s="19"/>
      <c r="BV11" s="20"/>
      <c r="BW11" s="21"/>
      <c r="BX11" s="18"/>
      <c r="BY11" s="22"/>
      <c r="BZ11" s="19"/>
      <c r="CA11" s="23"/>
    </row>
    <row r="12" spans="1:79" ht="15" hidden="1" customHeight="1" x14ac:dyDescent="0.25">
      <c r="A12" s="3"/>
      <c r="B12" s="43">
        <v>1.2083333333333399</v>
      </c>
      <c r="C12" s="43">
        <v>1.24999999999998</v>
      </c>
      <c r="D12" s="16"/>
      <c r="E12" s="17"/>
      <c r="F12" s="18"/>
      <c r="G12" s="19"/>
      <c r="H12" s="20"/>
      <c r="I12" s="21"/>
      <c r="J12" s="18"/>
      <c r="K12" s="22"/>
      <c r="L12" s="19"/>
      <c r="M12" s="23"/>
      <c r="N12" s="24"/>
      <c r="O12" s="16"/>
      <c r="P12" s="17"/>
      <c r="Q12" s="18"/>
      <c r="R12" s="19"/>
      <c r="S12" s="20"/>
      <c r="T12" s="21"/>
      <c r="U12" s="18"/>
      <c r="V12" s="22"/>
      <c r="W12" s="19"/>
      <c r="X12" s="23"/>
      <c r="Y12" s="24"/>
      <c r="Z12" s="16"/>
      <c r="AA12" s="17"/>
      <c r="AB12" s="18"/>
      <c r="AC12" s="19"/>
      <c r="AD12" s="20"/>
      <c r="AE12" s="21"/>
      <c r="AF12" s="18"/>
      <c r="AG12" s="22"/>
      <c r="AH12" s="19"/>
      <c r="AI12" s="23"/>
      <c r="AJ12" s="24"/>
      <c r="AK12" s="16"/>
      <c r="AL12" s="17"/>
      <c r="AM12" s="18"/>
      <c r="AN12" s="19"/>
      <c r="AO12" s="20"/>
      <c r="AP12" s="21"/>
      <c r="AQ12" s="18"/>
      <c r="AR12" s="22"/>
      <c r="AS12" s="19"/>
      <c r="AT12" s="23"/>
      <c r="AU12" s="24"/>
      <c r="AV12" s="16"/>
      <c r="AW12" s="17"/>
      <c r="AX12" s="18"/>
      <c r="AY12" s="19"/>
      <c r="AZ12" s="20"/>
      <c r="BA12" s="21"/>
      <c r="BB12" s="18"/>
      <c r="BC12" s="22"/>
      <c r="BD12" s="19"/>
      <c r="BE12" s="23"/>
      <c r="BF12" s="24"/>
      <c r="BG12" s="16"/>
      <c r="BH12" s="17"/>
      <c r="BI12" s="18"/>
      <c r="BJ12" s="19"/>
      <c r="BK12" s="20"/>
      <c r="BL12" s="21"/>
      <c r="BM12" s="18"/>
      <c r="BN12" s="22"/>
      <c r="BO12" s="19"/>
      <c r="BP12" s="23"/>
      <c r="BQ12" s="24"/>
      <c r="BR12" s="16"/>
      <c r="BS12" s="17"/>
      <c r="BT12" s="18"/>
      <c r="BU12" s="19"/>
      <c r="BV12" s="20"/>
      <c r="BW12" s="21"/>
      <c r="BX12" s="18"/>
      <c r="BY12" s="22"/>
      <c r="BZ12" s="19"/>
      <c r="CA12" s="23"/>
    </row>
    <row r="13" spans="1:79" x14ac:dyDescent="0.25">
      <c r="A13" s="3"/>
      <c r="B13" s="43">
        <v>1.25000000000001</v>
      </c>
      <c r="C13" s="43">
        <v>1.2916666666666401</v>
      </c>
      <c r="D13" s="16"/>
      <c r="E13" s="17"/>
      <c r="F13" s="18"/>
      <c r="G13" s="19"/>
      <c r="H13" s="20"/>
      <c r="I13" s="21"/>
      <c r="J13" s="18"/>
      <c r="K13" s="22"/>
      <c r="L13" s="19"/>
      <c r="M13" s="23"/>
      <c r="N13" s="24"/>
      <c r="O13" s="16"/>
      <c r="P13" s="17"/>
      <c r="Q13" s="18"/>
      <c r="R13" s="19"/>
      <c r="S13" s="20"/>
      <c r="T13" s="21"/>
      <c r="U13" s="18"/>
      <c r="V13" s="22"/>
      <c r="W13" s="19"/>
      <c r="X13" s="23"/>
      <c r="Y13" s="24"/>
      <c r="Z13" s="16"/>
      <c r="AA13" s="17"/>
      <c r="AB13" s="18"/>
      <c r="AC13" s="19"/>
      <c r="AD13" s="20"/>
      <c r="AE13" s="21"/>
      <c r="AF13" s="18"/>
      <c r="AG13" s="22"/>
      <c r="AH13" s="19"/>
      <c r="AI13" s="23"/>
      <c r="AJ13" s="24"/>
      <c r="AK13" s="16"/>
      <c r="AL13" s="17"/>
      <c r="AM13" s="18"/>
      <c r="AN13" s="19"/>
      <c r="AO13" s="20"/>
      <c r="AP13" s="21"/>
      <c r="AQ13" s="18"/>
      <c r="AR13" s="22"/>
      <c r="AS13" s="19"/>
      <c r="AT13" s="23"/>
      <c r="AU13" s="24"/>
      <c r="AV13" s="16"/>
      <c r="AW13" s="17"/>
      <c r="AX13" s="18"/>
      <c r="AY13" s="19"/>
      <c r="AZ13" s="20"/>
      <c r="BA13" s="21"/>
      <c r="BB13" s="18"/>
      <c r="BC13" s="22"/>
      <c r="BD13" s="19"/>
      <c r="BE13" s="23"/>
      <c r="BF13" s="24"/>
      <c r="BG13" s="16"/>
      <c r="BH13" s="17"/>
      <c r="BI13" s="18"/>
      <c r="BJ13" s="19"/>
      <c r="BK13" s="20"/>
      <c r="BL13" s="21"/>
      <c r="BM13" s="18"/>
      <c r="BN13" s="22"/>
      <c r="BO13" s="19"/>
      <c r="BP13" s="23"/>
      <c r="BQ13" s="24"/>
      <c r="BR13" s="16"/>
      <c r="BS13" s="17"/>
      <c r="BT13" s="18"/>
      <c r="BU13" s="19"/>
      <c r="BV13" s="20"/>
      <c r="BW13" s="21"/>
      <c r="BX13" s="18"/>
      <c r="BY13" s="22"/>
      <c r="BZ13" s="19"/>
      <c r="CA13" s="23"/>
    </row>
    <row r="14" spans="1:79" x14ac:dyDescent="0.25">
      <c r="A14" s="3"/>
      <c r="B14" s="43">
        <v>1.2916666666666801</v>
      </c>
      <c r="C14" s="43">
        <v>1.3333333333333</v>
      </c>
      <c r="D14" s="16"/>
      <c r="E14" s="17"/>
      <c r="F14" s="18"/>
      <c r="G14" s="19"/>
      <c r="H14" s="20"/>
      <c r="I14" s="21"/>
      <c r="J14" s="18"/>
      <c r="K14" s="22"/>
      <c r="L14" s="19"/>
      <c r="M14" s="23"/>
      <c r="N14" s="24"/>
      <c r="O14" s="16"/>
      <c r="P14" s="17"/>
      <c r="Q14" s="18"/>
      <c r="R14" s="19"/>
      <c r="S14" s="20"/>
      <c r="T14" s="21"/>
      <c r="U14" s="18"/>
      <c r="V14" s="22"/>
      <c r="W14" s="19"/>
      <c r="X14" s="23"/>
      <c r="Y14" s="24"/>
      <c r="Z14" s="16"/>
      <c r="AA14" s="17"/>
      <c r="AB14" s="18"/>
      <c r="AC14" s="19"/>
      <c r="AD14" s="20"/>
      <c r="AE14" s="21"/>
      <c r="AF14" s="18"/>
      <c r="AG14" s="22"/>
      <c r="AH14" s="19"/>
      <c r="AI14" s="23"/>
      <c r="AJ14" s="24"/>
      <c r="AK14" s="16"/>
      <c r="AL14" s="17"/>
      <c r="AM14" s="18"/>
      <c r="AN14" s="19"/>
      <c r="AO14" s="20"/>
      <c r="AP14" s="21"/>
      <c r="AQ14" s="18"/>
      <c r="AR14" s="22"/>
      <c r="AS14" s="19"/>
      <c r="AT14" s="23"/>
      <c r="AU14" s="24"/>
      <c r="AV14" s="16"/>
      <c r="AW14" s="17"/>
      <c r="AX14" s="18"/>
      <c r="AY14" s="19"/>
      <c r="AZ14" s="20"/>
      <c r="BA14" s="21">
        <v>0.5</v>
      </c>
      <c r="BB14" s="18">
        <v>0.5</v>
      </c>
      <c r="BC14" s="22"/>
      <c r="BD14" s="19"/>
      <c r="BE14" s="23"/>
      <c r="BF14" s="24"/>
      <c r="BG14" s="16"/>
      <c r="BH14" s="17"/>
      <c r="BI14" s="18"/>
      <c r="BJ14" s="19"/>
      <c r="BK14" s="20"/>
      <c r="BL14" s="21"/>
      <c r="BM14" s="18"/>
      <c r="BN14" s="22"/>
      <c r="BO14" s="19"/>
      <c r="BP14" s="23"/>
      <c r="BQ14" s="24"/>
      <c r="BR14" s="16"/>
      <c r="BS14" s="17"/>
      <c r="BT14" s="18"/>
      <c r="BU14" s="19"/>
      <c r="BV14" s="20"/>
      <c r="BW14" s="21"/>
      <c r="BX14" s="18"/>
      <c r="BY14" s="22"/>
      <c r="BZ14" s="19"/>
      <c r="CA14" s="23"/>
    </row>
    <row r="15" spans="1:79" x14ac:dyDescent="0.25">
      <c r="B15" s="1">
        <v>0.33333333333333298</v>
      </c>
      <c r="C15" s="1">
        <v>0.375</v>
      </c>
      <c r="D15" s="65"/>
      <c r="E15" s="66"/>
      <c r="F15" s="67"/>
      <c r="G15" s="68"/>
      <c r="H15" s="69"/>
      <c r="I15" s="70"/>
      <c r="J15" s="67"/>
      <c r="K15" s="71"/>
      <c r="L15" s="68"/>
      <c r="M15" s="72"/>
      <c r="N15" s="73"/>
      <c r="O15" s="65"/>
      <c r="P15" s="66"/>
      <c r="Q15" s="67"/>
      <c r="R15" s="68"/>
      <c r="S15" s="69"/>
      <c r="T15" s="70"/>
      <c r="U15" s="67"/>
      <c r="V15" s="71"/>
      <c r="W15" s="68"/>
      <c r="X15" s="72"/>
      <c r="Y15" s="73"/>
      <c r="Z15" s="65"/>
      <c r="AA15" s="66"/>
      <c r="AB15" s="67"/>
      <c r="AC15" s="68"/>
      <c r="AD15" s="69"/>
      <c r="AE15" s="70"/>
      <c r="AF15" s="67"/>
      <c r="AG15" s="71"/>
      <c r="AH15" s="68"/>
      <c r="AI15" s="72"/>
      <c r="AJ15" s="73"/>
      <c r="AK15" s="65"/>
      <c r="AL15" s="66"/>
      <c r="AM15" s="67"/>
      <c r="AN15" s="68"/>
      <c r="AO15" s="69"/>
      <c r="AP15" s="70"/>
      <c r="AQ15" s="67"/>
      <c r="AR15" s="71"/>
      <c r="AS15" s="68"/>
      <c r="AT15" s="72"/>
      <c r="AU15" s="73"/>
      <c r="AV15" s="65"/>
      <c r="AW15" s="66"/>
      <c r="AX15" s="67"/>
      <c r="AY15" s="68"/>
      <c r="AZ15" s="69"/>
      <c r="BA15" s="70"/>
      <c r="BB15" s="67"/>
      <c r="BC15" s="71"/>
      <c r="BD15" s="68"/>
      <c r="BE15" s="72"/>
      <c r="BF15" s="73"/>
      <c r="BG15" s="65"/>
      <c r="BH15" s="66"/>
      <c r="BI15" s="67"/>
      <c r="BJ15" s="68"/>
      <c r="BK15" s="68"/>
      <c r="BL15" s="70"/>
      <c r="BM15" s="67"/>
      <c r="BN15" s="71"/>
      <c r="BO15" s="68"/>
      <c r="BP15" s="72"/>
      <c r="BQ15" s="73"/>
      <c r="BR15" s="65"/>
      <c r="BS15" s="66"/>
      <c r="BT15" s="67"/>
      <c r="BU15" s="68"/>
      <c r="BV15" s="69"/>
      <c r="BW15" s="70"/>
      <c r="BX15" s="67"/>
      <c r="BY15" s="71"/>
      <c r="BZ15" s="68"/>
      <c r="CA15" s="72"/>
    </row>
    <row r="16" spans="1:79" x14ac:dyDescent="0.25">
      <c r="B16" s="1">
        <v>0.375</v>
      </c>
      <c r="C16" s="1">
        <v>0.41666666666666702</v>
      </c>
      <c r="D16" s="65"/>
      <c r="E16" s="66"/>
      <c r="F16" s="67"/>
      <c r="G16" s="68"/>
      <c r="H16" s="69"/>
      <c r="I16" s="70"/>
      <c r="J16" s="67"/>
      <c r="K16" s="71"/>
      <c r="L16" s="68"/>
      <c r="M16" s="72"/>
      <c r="N16" s="73"/>
      <c r="O16" s="65"/>
      <c r="P16" s="66"/>
      <c r="Q16" s="67"/>
      <c r="R16" s="68"/>
      <c r="S16" s="69"/>
      <c r="T16" s="70"/>
      <c r="U16" s="67"/>
      <c r="V16" s="71"/>
      <c r="W16" s="68"/>
      <c r="X16" s="72"/>
      <c r="Y16" s="73"/>
      <c r="Z16" s="65"/>
      <c r="AA16" s="66"/>
      <c r="AB16" s="67"/>
      <c r="AC16" s="68"/>
      <c r="AD16" s="69"/>
      <c r="AE16" s="70"/>
      <c r="AF16" s="67"/>
      <c r="AG16" s="71"/>
      <c r="AH16" s="68"/>
      <c r="AI16" s="72"/>
      <c r="AJ16" s="73"/>
      <c r="AK16" s="65"/>
      <c r="AL16" s="66"/>
      <c r="AM16" s="67"/>
      <c r="AN16" s="68"/>
      <c r="AO16" s="69"/>
      <c r="AP16" s="70"/>
      <c r="AQ16" s="67"/>
      <c r="AR16" s="71"/>
      <c r="AS16" s="68"/>
      <c r="AT16" s="72"/>
      <c r="AU16" s="73"/>
      <c r="AV16" s="65"/>
      <c r="AW16" s="66"/>
      <c r="AX16" s="67"/>
      <c r="AY16" s="68"/>
      <c r="AZ16" s="69"/>
      <c r="BA16" s="70"/>
      <c r="BB16" s="67"/>
      <c r="BC16" s="71"/>
      <c r="BD16" s="68"/>
      <c r="BE16" s="72"/>
      <c r="BF16" s="73"/>
      <c r="BG16" s="65"/>
      <c r="BH16" s="69"/>
      <c r="BI16" s="67"/>
      <c r="BJ16" s="68"/>
      <c r="BK16" s="69"/>
      <c r="BL16" s="70"/>
      <c r="BM16" s="67"/>
      <c r="BN16" s="71"/>
      <c r="BP16" s="72"/>
      <c r="BQ16" s="73"/>
      <c r="BR16" s="65"/>
      <c r="BS16" s="66"/>
      <c r="BT16" s="67"/>
      <c r="BU16" s="68"/>
      <c r="BV16" s="69"/>
      <c r="BW16" s="70"/>
      <c r="BX16" s="67"/>
      <c r="BY16" s="71"/>
      <c r="BZ16" s="68"/>
      <c r="CA16" s="72"/>
    </row>
    <row r="17" spans="1:79" x14ac:dyDescent="0.25">
      <c r="A17" s="3"/>
      <c r="B17" s="1">
        <v>0.41666666666666669</v>
      </c>
      <c r="C17" s="1">
        <v>0.45833333333333331</v>
      </c>
      <c r="D17" s="65"/>
      <c r="E17" s="66"/>
      <c r="F17" s="67">
        <v>1</v>
      </c>
      <c r="G17" s="68"/>
      <c r="H17" s="69"/>
      <c r="I17" s="70"/>
      <c r="J17" s="67"/>
      <c r="K17" s="71"/>
      <c r="L17" s="68"/>
      <c r="M17" s="72"/>
      <c r="N17" s="73"/>
      <c r="O17" s="65">
        <v>1</v>
      </c>
      <c r="P17" s="66"/>
      <c r="Q17" s="67"/>
      <c r="R17" s="68"/>
      <c r="S17" s="69"/>
      <c r="T17" s="70"/>
      <c r="U17" s="67"/>
      <c r="V17" s="71"/>
      <c r="W17" s="68"/>
      <c r="X17" s="72"/>
      <c r="Y17" s="73"/>
      <c r="Z17" s="65">
        <v>1</v>
      </c>
      <c r="AA17" s="66"/>
      <c r="AB17" s="67"/>
      <c r="AC17" s="68"/>
      <c r="AD17" s="69"/>
      <c r="AE17" s="70"/>
      <c r="AF17" s="67"/>
      <c r="AG17" s="71"/>
      <c r="AH17" s="68"/>
      <c r="AI17" s="72"/>
      <c r="AJ17" s="73"/>
      <c r="AK17" s="65"/>
      <c r="AL17" s="66"/>
      <c r="AM17" s="67"/>
      <c r="AN17" s="68"/>
      <c r="AO17" s="69"/>
      <c r="AP17" s="70"/>
      <c r="AQ17" s="67"/>
      <c r="AR17" s="71"/>
      <c r="AS17" s="68"/>
      <c r="AT17" s="72"/>
      <c r="AU17" s="73"/>
      <c r="AV17" s="65"/>
      <c r="AW17" s="66"/>
      <c r="AX17" s="67"/>
      <c r="AY17" s="68"/>
      <c r="AZ17" s="69"/>
      <c r="BA17" s="70"/>
      <c r="BB17" s="67"/>
      <c r="BC17" s="71"/>
      <c r="BD17" s="68"/>
      <c r="BE17" s="72"/>
      <c r="BF17" s="73"/>
      <c r="BG17" s="65"/>
      <c r="BH17" s="66"/>
      <c r="BI17" s="67"/>
      <c r="BJ17" s="68"/>
      <c r="BK17" s="69"/>
      <c r="BL17" s="70"/>
      <c r="BM17" s="67"/>
      <c r="BN17" s="71"/>
      <c r="BO17" s="68"/>
      <c r="BP17" s="72"/>
      <c r="BQ17" s="73"/>
      <c r="BR17" s="65">
        <v>1</v>
      </c>
      <c r="BS17" s="66"/>
      <c r="BT17" s="67"/>
      <c r="BU17" s="68"/>
      <c r="BV17" s="69"/>
      <c r="BW17" s="70"/>
      <c r="BX17" s="67"/>
      <c r="BY17" s="71"/>
      <c r="BZ17" s="68"/>
      <c r="CA17" s="72"/>
    </row>
    <row r="18" spans="1:79" ht="15" customHeight="1" x14ac:dyDescent="0.25">
      <c r="A18" s="3"/>
      <c r="B18" s="1">
        <v>0.45833333333333331</v>
      </c>
      <c r="C18" s="1">
        <v>0.5</v>
      </c>
      <c r="D18" s="65"/>
      <c r="E18" s="66"/>
      <c r="F18" s="67">
        <v>1</v>
      </c>
      <c r="G18" s="68"/>
      <c r="H18" s="69"/>
      <c r="I18" s="70"/>
      <c r="J18" s="67"/>
      <c r="K18" s="71"/>
      <c r="L18" s="68"/>
      <c r="M18" s="72"/>
      <c r="N18" s="73"/>
      <c r="O18" s="65">
        <v>1</v>
      </c>
      <c r="P18" s="66"/>
      <c r="Q18" s="67"/>
      <c r="R18" s="68"/>
      <c r="S18" s="69"/>
      <c r="T18" s="70"/>
      <c r="U18" s="67"/>
      <c r="V18" s="71"/>
      <c r="W18" s="68"/>
      <c r="X18" s="72"/>
      <c r="Y18" s="73"/>
      <c r="Z18" s="65">
        <v>1</v>
      </c>
      <c r="AA18" s="66"/>
      <c r="AB18" s="67"/>
      <c r="AC18" s="68"/>
      <c r="AD18" s="69"/>
      <c r="AE18" s="70"/>
      <c r="AF18" s="67"/>
      <c r="AG18" s="71"/>
      <c r="AH18" s="68"/>
      <c r="AI18" s="72"/>
      <c r="AJ18" s="73"/>
      <c r="AK18" s="65"/>
      <c r="AL18" s="66"/>
      <c r="AM18" s="67"/>
      <c r="AN18" s="68"/>
      <c r="AO18" s="69"/>
      <c r="AP18" s="70"/>
      <c r="AQ18" s="67"/>
      <c r="AR18" s="71"/>
      <c r="AS18" s="68"/>
      <c r="AT18" s="72"/>
      <c r="AU18" s="73"/>
      <c r="AV18" s="65"/>
      <c r="AW18" s="66"/>
      <c r="AX18" s="67"/>
      <c r="AY18" s="68"/>
      <c r="AZ18" s="69"/>
      <c r="BA18" s="70"/>
      <c r="BB18" s="67"/>
      <c r="BC18" s="71"/>
      <c r="BD18" s="68"/>
      <c r="BE18" s="72"/>
      <c r="BF18" s="73"/>
      <c r="BG18" s="65"/>
      <c r="BH18" s="66"/>
      <c r="BI18" s="67"/>
      <c r="BJ18" s="68"/>
      <c r="BK18" s="69"/>
      <c r="BL18" s="70"/>
      <c r="BM18" s="67"/>
      <c r="BN18" s="71"/>
      <c r="BO18" s="68"/>
      <c r="BP18" s="72"/>
      <c r="BQ18" s="73"/>
      <c r="BR18" s="65">
        <v>1</v>
      </c>
      <c r="BS18" s="66"/>
      <c r="BT18" s="67"/>
      <c r="BU18" s="68"/>
      <c r="BV18" s="69"/>
      <c r="BW18" s="70"/>
      <c r="BX18" s="67"/>
      <c r="BY18" s="71"/>
      <c r="BZ18" s="68"/>
      <c r="CA18" s="72"/>
    </row>
    <row r="19" spans="1:79" x14ac:dyDescent="0.25">
      <c r="A19" s="3"/>
      <c r="B19" s="1">
        <v>0.5</v>
      </c>
      <c r="C19" s="1">
        <v>0.54166666666666663</v>
      </c>
      <c r="D19" s="65"/>
      <c r="E19" s="66"/>
      <c r="F19" s="67">
        <v>1</v>
      </c>
      <c r="G19" s="68"/>
      <c r="H19" s="69"/>
      <c r="I19" s="70"/>
      <c r="J19" s="67"/>
      <c r="K19" s="71"/>
      <c r="L19" s="68"/>
      <c r="M19" s="72"/>
      <c r="N19" s="73"/>
      <c r="O19" s="65">
        <v>1</v>
      </c>
      <c r="P19" s="66"/>
      <c r="Q19" s="67"/>
      <c r="R19" s="68"/>
      <c r="S19" s="69"/>
      <c r="T19" s="70"/>
      <c r="U19" s="67"/>
      <c r="V19" s="71"/>
      <c r="W19" s="68"/>
      <c r="X19" s="72"/>
      <c r="Y19" s="73"/>
      <c r="Z19" s="65">
        <v>1</v>
      </c>
      <c r="AA19" s="66"/>
      <c r="AB19" s="67"/>
      <c r="AC19" s="68"/>
      <c r="AD19" s="69"/>
      <c r="AE19" s="70"/>
      <c r="AF19" s="67"/>
      <c r="AG19" s="71"/>
      <c r="AH19" s="68"/>
      <c r="AI19" s="72"/>
      <c r="AJ19" s="73"/>
      <c r="AK19" s="65"/>
      <c r="AL19" s="66"/>
      <c r="AM19" s="67"/>
      <c r="AN19" s="68"/>
      <c r="AO19" s="69"/>
      <c r="AP19" s="70"/>
      <c r="AQ19" s="67"/>
      <c r="AR19" s="71"/>
      <c r="AS19" s="68"/>
      <c r="AT19" s="72"/>
      <c r="AU19" s="73"/>
      <c r="AV19" s="65"/>
      <c r="AW19" s="66"/>
      <c r="AX19" s="67"/>
      <c r="AY19" s="68"/>
      <c r="AZ19" s="69"/>
      <c r="BA19" s="70"/>
      <c r="BB19" s="67"/>
      <c r="BC19" s="71"/>
      <c r="BD19" s="68"/>
      <c r="BE19" s="72"/>
      <c r="BF19" s="73"/>
      <c r="BG19" s="65"/>
      <c r="BH19" s="66"/>
      <c r="BI19" s="67"/>
      <c r="BJ19" s="68"/>
      <c r="BK19" s="69"/>
      <c r="BL19" s="70"/>
      <c r="BM19" s="67"/>
      <c r="BN19" s="71"/>
      <c r="BO19" s="68"/>
      <c r="BP19" s="72"/>
      <c r="BQ19" s="73"/>
      <c r="BR19" s="65">
        <v>1</v>
      </c>
      <c r="BS19" s="66"/>
      <c r="BT19" s="67"/>
      <c r="BU19" s="68"/>
      <c r="BV19" s="69"/>
      <c r="BW19" s="70"/>
      <c r="BX19" s="67"/>
      <c r="BY19" s="71"/>
      <c r="BZ19" s="68"/>
      <c r="CA19" s="72"/>
    </row>
    <row r="20" spans="1:79" ht="15" customHeight="1" x14ac:dyDescent="0.25">
      <c r="A20" s="3"/>
      <c r="B20" s="1">
        <v>0.54166666666666663</v>
      </c>
      <c r="C20" s="1">
        <v>0.58333333333333304</v>
      </c>
      <c r="D20" s="65"/>
      <c r="E20" s="66"/>
      <c r="F20" s="67"/>
      <c r="G20" s="68"/>
      <c r="H20" s="69"/>
      <c r="I20" s="70"/>
      <c r="J20" s="67"/>
      <c r="K20" s="71"/>
      <c r="L20" s="68"/>
      <c r="M20" s="72"/>
      <c r="N20" s="74"/>
      <c r="O20" s="65">
        <v>1</v>
      </c>
      <c r="P20" s="66"/>
      <c r="Q20" s="67"/>
      <c r="R20" s="68"/>
      <c r="S20" s="69"/>
      <c r="T20" s="70"/>
      <c r="U20" s="67"/>
      <c r="V20" s="71"/>
      <c r="W20" s="68"/>
      <c r="X20" s="72"/>
      <c r="Y20" s="74"/>
      <c r="Z20" s="65">
        <v>1</v>
      </c>
      <c r="AA20" s="66"/>
      <c r="AB20" s="67"/>
      <c r="AC20" s="68"/>
      <c r="AD20" s="69"/>
      <c r="AE20" s="70"/>
      <c r="AF20" s="67"/>
      <c r="AG20" s="71"/>
      <c r="AH20" s="68"/>
      <c r="AI20" s="72"/>
      <c r="AJ20" s="74"/>
      <c r="AK20" s="65">
        <v>1</v>
      </c>
      <c r="AL20" s="66"/>
      <c r="AM20" s="67"/>
      <c r="AN20" s="68"/>
      <c r="AO20" s="69"/>
      <c r="AP20" s="70"/>
      <c r="AQ20" s="67"/>
      <c r="AR20" s="71"/>
      <c r="AS20" s="68"/>
      <c r="AT20" s="72"/>
      <c r="AU20" s="74"/>
      <c r="AV20" s="65">
        <v>1</v>
      </c>
      <c r="AW20" s="66"/>
      <c r="AX20" s="67"/>
      <c r="AY20" s="68"/>
      <c r="AZ20" s="69"/>
      <c r="BA20" s="70"/>
      <c r="BB20" s="67"/>
      <c r="BC20" s="71"/>
      <c r="BD20" s="68"/>
      <c r="BE20" s="72"/>
      <c r="BF20" s="74"/>
      <c r="BG20" s="65">
        <v>1</v>
      </c>
      <c r="BH20" s="66"/>
      <c r="BI20" s="67"/>
      <c r="BJ20" s="68"/>
      <c r="BK20" s="69"/>
      <c r="BL20" s="70"/>
      <c r="BM20" s="67"/>
      <c r="BN20" s="71"/>
      <c r="BO20" s="68"/>
      <c r="BP20" s="72"/>
      <c r="BQ20" s="74"/>
      <c r="BR20" s="65">
        <v>1</v>
      </c>
      <c r="BS20" s="66"/>
      <c r="BT20" s="67"/>
      <c r="BU20" s="68"/>
      <c r="BV20" s="69"/>
      <c r="BW20" s="70"/>
      <c r="BX20" s="67"/>
      <c r="BY20" s="71"/>
      <c r="BZ20" s="68"/>
      <c r="CA20" s="72"/>
    </row>
    <row r="21" spans="1:79" ht="15" customHeight="1" x14ac:dyDescent="0.25">
      <c r="A21" s="3" t="s">
        <v>2</v>
      </c>
      <c r="B21" s="1">
        <v>0.58333333333333304</v>
      </c>
      <c r="C21" s="1">
        <v>0.625</v>
      </c>
      <c r="D21" s="65"/>
      <c r="E21" s="66"/>
      <c r="F21" s="67">
        <v>1</v>
      </c>
      <c r="G21" s="68"/>
      <c r="H21" s="69"/>
      <c r="I21" s="70"/>
      <c r="J21" s="67"/>
      <c r="K21" s="71"/>
      <c r="L21" s="68"/>
      <c r="M21" s="72"/>
      <c r="N21" s="73"/>
      <c r="O21" s="65">
        <v>1</v>
      </c>
      <c r="P21" s="66"/>
      <c r="Q21" s="67"/>
      <c r="R21" s="68"/>
      <c r="S21" s="69"/>
      <c r="T21" s="70"/>
      <c r="U21" s="67"/>
      <c r="V21" s="71"/>
      <c r="W21" s="68"/>
      <c r="X21" s="72"/>
      <c r="Y21" s="73"/>
      <c r="Z21" s="65">
        <v>1</v>
      </c>
      <c r="AA21" s="66"/>
      <c r="AB21" s="67"/>
      <c r="AC21" s="68"/>
      <c r="AD21" s="69"/>
      <c r="AE21" s="70"/>
      <c r="AF21" s="67"/>
      <c r="AG21" s="71"/>
      <c r="AH21" s="68"/>
      <c r="AI21" s="72"/>
      <c r="AJ21" s="73"/>
      <c r="AK21" s="65">
        <v>1</v>
      </c>
      <c r="AL21" s="66"/>
      <c r="AM21" s="67"/>
      <c r="AN21" s="68"/>
      <c r="AO21" s="69"/>
      <c r="AP21" s="70"/>
      <c r="AQ21" s="67"/>
      <c r="AR21" s="71"/>
      <c r="AS21" s="68"/>
      <c r="AT21" s="72"/>
      <c r="AU21" s="73"/>
      <c r="AV21" s="65">
        <v>1</v>
      </c>
      <c r="AW21" s="66"/>
      <c r="AX21" s="67"/>
      <c r="AY21" s="68"/>
      <c r="AZ21" s="69"/>
      <c r="BA21" s="70"/>
      <c r="BB21" s="67"/>
      <c r="BC21" s="71"/>
      <c r="BD21" s="68"/>
      <c r="BE21" s="72"/>
      <c r="BF21" s="73"/>
      <c r="BG21" s="65">
        <v>1</v>
      </c>
      <c r="BH21" s="66"/>
      <c r="BI21" s="67"/>
      <c r="BJ21" s="68"/>
      <c r="BK21" s="69"/>
      <c r="BL21" s="70"/>
      <c r="BM21" s="67"/>
      <c r="BN21" s="71"/>
      <c r="BO21" s="68"/>
      <c r="BP21" s="72"/>
      <c r="BQ21" s="73"/>
      <c r="BR21" s="65"/>
      <c r="BS21" s="66"/>
      <c r="BT21" s="67"/>
      <c r="BU21" s="68"/>
      <c r="BV21" s="69"/>
      <c r="BW21" s="70"/>
      <c r="BX21" s="67"/>
      <c r="BY21" s="71"/>
      <c r="BZ21" s="68"/>
      <c r="CA21" s="72"/>
    </row>
    <row r="22" spans="1:79" ht="15" customHeight="1" x14ac:dyDescent="0.25">
      <c r="A22" s="3"/>
      <c r="B22" s="1">
        <v>0.625</v>
      </c>
      <c r="C22" s="1">
        <v>0.66666666666666696</v>
      </c>
      <c r="D22" s="65"/>
      <c r="E22" s="66"/>
      <c r="F22" s="67">
        <v>1</v>
      </c>
      <c r="G22" s="68"/>
      <c r="H22" s="69"/>
      <c r="I22" s="70"/>
      <c r="J22" s="67"/>
      <c r="K22" s="71"/>
      <c r="L22" s="68"/>
      <c r="M22" s="72"/>
      <c r="N22" s="73"/>
      <c r="O22" s="65">
        <v>1</v>
      </c>
      <c r="P22" s="66"/>
      <c r="Q22" s="67"/>
      <c r="R22" s="68"/>
      <c r="S22" s="69"/>
      <c r="T22" s="70"/>
      <c r="U22" s="67"/>
      <c r="V22" s="71"/>
      <c r="W22" s="68"/>
      <c r="X22" s="72"/>
      <c r="Y22" s="73"/>
      <c r="Z22" s="65">
        <v>1</v>
      </c>
      <c r="AA22" s="66"/>
      <c r="AB22" s="67"/>
      <c r="AC22" s="68"/>
      <c r="AD22" s="69"/>
      <c r="AE22" s="70"/>
      <c r="AF22" s="67"/>
      <c r="AG22" s="71"/>
      <c r="AH22" s="68"/>
      <c r="AI22" s="72"/>
      <c r="AJ22" s="73"/>
      <c r="AK22" s="65"/>
      <c r="AL22" s="66"/>
      <c r="AM22" s="67">
        <v>1</v>
      </c>
      <c r="AN22" s="68"/>
      <c r="AO22" s="69"/>
      <c r="AP22" s="70"/>
      <c r="AQ22" s="67"/>
      <c r="AR22" s="71"/>
      <c r="AS22" s="68"/>
      <c r="AT22" s="72"/>
      <c r="AU22" s="73"/>
      <c r="AV22" s="65">
        <v>1</v>
      </c>
      <c r="AW22" s="66"/>
      <c r="AX22" s="67"/>
      <c r="AY22" s="68"/>
      <c r="AZ22" s="69"/>
      <c r="BA22" s="70"/>
      <c r="BB22" s="67"/>
      <c r="BC22" s="71"/>
      <c r="BD22" s="68"/>
      <c r="BE22" s="72"/>
      <c r="BF22" s="73"/>
      <c r="BG22" s="65"/>
      <c r="BH22" s="66"/>
      <c r="BI22" s="67">
        <v>1</v>
      </c>
      <c r="BJ22" s="68"/>
      <c r="BK22" s="69"/>
      <c r="BL22" s="70"/>
      <c r="BM22" s="67"/>
      <c r="BN22" s="71"/>
      <c r="BO22" s="68"/>
      <c r="BP22" s="72"/>
      <c r="BQ22" s="73"/>
      <c r="BR22" s="65">
        <v>1</v>
      </c>
      <c r="BS22" s="66"/>
      <c r="BT22" s="67"/>
      <c r="BU22" s="68"/>
      <c r="BV22" s="69"/>
      <c r="BW22" s="70"/>
      <c r="BX22" s="67"/>
      <c r="BY22" s="71"/>
      <c r="BZ22" s="68"/>
      <c r="CA22" s="72"/>
    </row>
    <row r="23" spans="1:79" x14ac:dyDescent="0.25">
      <c r="A23" s="3"/>
      <c r="B23" s="1">
        <v>0.66666666666666696</v>
      </c>
      <c r="C23" s="1">
        <v>0.70833333333333304</v>
      </c>
      <c r="D23" s="65"/>
      <c r="E23" s="66"/>
      <c r="F23" s="67">
        <v>1</v>
      </c>
      <c r="G23" s="68"/>
      <c r="H23" s="69"/>
      <c r="I23" s="70"/>
      <c r="J23" s="67"/>
      <c r="K23" s="71"/>
      <c r="L23" s="68"/>
      <c r="M23" s="72"/>
      <c r="N23" s="73"/>
      <c r="O23" s="65"/>
      <c r="P23" s="66"/>
      <c r="Q23" s="67">
        <v>1</v>
      </c>
      <c r="R23" s="68"/>
      <c r="S23" s="69"/>
      <c r="T23" s="70"/>
      <c r="U23" s="67"/>
      <c r="V23" s="71"/>
      <c r="W23" s="68"/>
      <c r="X23" s="72"/>
      <c r="Y23" s="73"/>
      <c r="Z23" s="65"/>
      <c r="AA23" s="66"/>
      <c r="AB23" s="67">
        <v>1</v>
      </c>
      <c r="AC23" s="68"/>
      <c r="AD23" s="69"/>
      <c r="AE23" s="70"/>
      <c r="AF23" s="67"/>
      <c r="AG23" s="71"/>
      <c r="AH23" s="68"/>
      <c r="AI23" s="72"/>
      <c r="AJ23" s="73"/>
      <c r="AK23" s="65">
        <v>1</v>
      </c>
      <c r="AL23" s="66"/>
      <c r="AM23" s="67"/>
      <c r="AN23" s="68"/>
      <c r="AO23" s="69"/>
      <c r="AP23" s="70"/>
      <c r="AQ23" s="67"/>
      <c r="AR23" s="71"/>
      <c r="AS23" s="68"/>
      <c r="AT23" s="72"/>
      <c r="AU23" s="73"/>
      <c r="AV23" s="65">
        <v>1</v>
      </c>
      <c r="AW23" s="66"/>
      <c r="AX23" s="67"/>
      <c r="AY23" s="68"/>
      <c r="AZ23" s="69"/>
      <c r="BA23" s="70"/>
      <c r="BB23" s="67"/>
      <c r="BC23" s="71"/>
      <c r="BD23" s="68"/>
      <c r="BE23" s="72"/>
      <c r="BF23" s="73"/>
      <c r="BG23" s="65">
        <v>1</v>
      </c>
      <c r="BH23" s="66"/>
      <c r="BI23" s="67"/>
      <c r="BJ23" s="68"/>
      <c r="BK23" s="69"/>
      <c r="BL23" s="70"/>
      <c r="BM23" s="67"/>
      <c r="BN23" s="71"/>
      <c r="BO23" s="68"/>
      <c r="BP23" s="72"/>
      <c r="BQ23" s="73"/>
      <c r="BR23" s="65">
        <v>1</v>
      </c>
      <c r="BS23" s="66"/>
      <c r="BT23" s="67"/>
      <c r="BU23" s="68"/>
      <c r="BV23" s="69"/>
      <c r="BW23" s="70"/>
      <c r="BX23" s="67"/>
      <c r="BY23" s="71"/>
      <c r="BZ23" s="68"/>
      <c r="CA23" s="72"/>
    </row>
    <row r="24" spans="1:79" x14ac:dyDescent="0.25">
      <c r="B24" s="1">
        <v>0.70833333333333337</v>
      </c>
      <c r="C24" s="1">
        <v>0.75</v>
      </c>
      <c r="D24" s="65"/>
      <c r="E24" s="66"/>
      <c r="F24" s="67">
        <v>1</v>
      </c>
      <c r="G24" s="68"/>
      <c r="H24" s="69"/>
      <c r="I24" s="70"/>
      <c r="J24" s="67"/>
      <c r="K24" s="71"/>
      <c r="L24" s="68"/>
      <c r="M24" s="72"/>
      <c r="N24" s="73"/>
      <c r="O24" s="65">
        <v>1</v>
      </c>
      <c r="P24" s="66"/>
      <c r="Q24" s="67"/>
      <c r="R24" s="68"/>
      <c r="S24" s="69"/>
      <c r="T24" s="70"/>
      <c r="U24" s="67"/>
      <c r="V24" s="71"/>
      <c r="W24" s="68"/>
      <c r="X24" s="72"/>
      <c r="Y24" s="73"/>
      <c r="Z24" s="65">
        <v>1</v>
      </c>
      <c r="AA24" s="66"/>
      <c r="AB24" s="67"/>
      <c r="AC24" s="68"/>
      <c r="AD24" s="69"/>
      <c r="AE24" s="70"/>
      <c r="AF24" s="67"/>
      <c r="AG24" s="71"/>
      <c r="AH24" s="68"/>
      <c r="AI24" s="72"/>
      <c r="AJ24" s="73"/>
      <c r="AK24" s="65">
        <v>1</v>
      </c>
      <c r="AL24" s="66"/>
      <c r="AM24" s="67">
        <v>1</v>
      </c>
      <c r="AN24" s="68"/>
      <c r="AO24" s="69"/>
      <c r="AP24" s="70"/>
      <c r="AQ24" s="67"/>
      <c r="AR24" s="71"/>
      <c r="AS24" s="68"/>
      <c r="AT24" s="72"/>
      <c r="AU24" s="73"/>
      <c r="AV24" s="65">
        <v>1</v>
      </c>
      <c r="AW24" s="66"/>
      <c r="AX24" s="67"/>
      <c r="AY24" s="68"/>
      <c r="AZ24" s="69"/>
      <c r="BA24" s="70"/>
      <c r="BB24" s="67"/>
      <c r="BC24" s="71"/>
      <c r="BD24" s="68"/>
      <c r="BE24" s="72"/>
      <c r="BF24" s="73"/>
      <c r="BG24" s="65">
        <v>1</v>
      </c>
      <c r="BH24" s="66"/>
      <c r="BI24" s="67">
        <v>1</v>
      </c>
      <c r="BJ24" s="68"/>
      <c r="BK24" s="69"/>
      <c r="BL24" s="70"/>
      <c r="BM24" s="67"/>
      <c r="BN24" s="71"/>
      <c r="BO24" s="68"/>
      <c r="BP24" s="72"/>
      <c r="BQ24" s="73"/>
      <c r="BR24" s="65">
        <v>1</v>
      </c>
      <c r="BS24" s="66"/>
      <c r="BT24" s="67"/>
      <c r="BU24" s="68"/>
      <c r="BV24" s="69"/>
      <c r="BW24" s="70"/>
      <c r="BX24" s="67"/>
      <c r="BY24" s="71"/>
      <c r="BZ24" s="68"/>
      <c r="CA24" s="72"/>
    </row>
    <row r="25" spans="1:79" x14ac:dyDescent="0.25">
      <c r="A25" s="3"/>
      <c r="B25" s="1">
        <v>0.75</v>
      </c>
      <c r="C25" s="1">
        <v>0.79166666666666696</v>
      </c>
      <c r="D25" s="65"/>
      <c r="E25" s="66"/>
      <c r="F25" s="67">
        <v>1</v>
      </c>
      <c r="G25" s="68"/>
      <c r="H25" s="69"/>
      <c r="I25" s="70"/>
      <c r="J25" s="67"/>
      <c r="K25" s="71"/>
      <c r="L25" s="68"/>
      <c r="M25" s="72"/>
      <c r="N25" s="73"/>
      <c r="O25" s="65"/>
      <c r="P25" s="66"/>
      <c r="Q25" s="67">
        <v>1</v>
      </c>
      <c r="R25" s="68"/>
      <c r="S25" s="69"/>
      <c r="T25" s="70"/>
      <c r="U25" s="67"/>
      <c r="V25" s="71"/>
      <c r="W25" s="68"/>
      <c r="X25" s="72"/>
      <c r="Y25" s="73"/>
      <c r="Z25" s="65"/>
      <c r="AA25" s="66"/>
      <c r="AB25" s="67">
        <v>1</v>
      </c>
      <c r="AC25" s="68"/>
      <c r="AD25" s="69"/>
      <c r="AE25" s="70"/>
      <c r="AF25" s="67"/>
      <c r="AG25" s="71"/>
      <c r="AH25" s="68"/>
      <c r="AI25" s="72"/>
      <c r="AJ25" s="73"/>
      <c r="AK25" s="65">
        <v>1</v>
      </c>
      <c r="AL25" s="66"/>
      <c r="AM25" s="67">
        <v>1</v>
      </c>
      <c r="AN25" s="68"/>
      <c r="AO25" s="69"/>
      <c r="AP25" s="70"/>
      <c r="AQ25" s="67"/>
      <c r="AR25" s="71"/>
      <c r="AS25" s="68"/>
      <c r="AT25" s="72"/>
      <c r="AU25" s="73"/>
      <c r="AV25" s="65"/>
      <c r="AW25" s="66"/>
      <c r="AX25" s="67">
        <v>1</v>
      </c>
      <c r="AY25" s="68"/>
      <c r="AZ25" s="69"/>
      <c r="BA25" s="70"/>
      <c r="BB25" s="67"/>
      <c r="BC25" s="71"/>
      <c r="BD25" s="68"/>
      <c r="BE25" s="72"/>
      <c r="BF25" s="73"/>
      <c r="BG25" s="65">
        <v>1</v>
      </c>
      <c r="BH25" s="66"/>
      <c r="BI25" s="67">
        <v>1</v>
      </c>
      <c r="BJ25" s="68"/>
      <c r="BK25" s="69"/>
      <c r="BL25" s="70"/>
      <c r="BM25" s="67"/>
      <c r="BN25" s="71"/>
      <c r="BO25" s="68"/>
      <c r="BP25" s="72"/>
      <c r="BQ25" s="73"/>
      <c r="BR25" s="65">
        <v>1</v>
      </c>
      <c r="BS25" s="66"/>
      <c r="BT25" s="67"/>
      <c r="BU25" s="68"/>
      <c r="BV25" s="69"/>
      <c r="BW25" s="70"/>
      <c r="BX25" s="67"/>
      <c r="BY25" s="71"/>
      <c r="BZ25" s="68"/>
      <c r="CA25" s="72"/>
    </row>
    <row r="26" spans="1:79" x14ac:dyDescent="0.25">
      <c r="A26" s="3"/>
      <c r="B26" s="1">
        <v>0.79166666666666696</v>
      </c>
      <c r="C26" s="1">
        <v>0.83333333333333304</v>
      </c>
      <c r="D26" s="65"/>
      <c r="E26" s="66"/>
      <c r="F26" s="67">
        <v>1</v>
      </c>
      <c r="G26" s="68"/>
      <c r="H26" s="69"/>
      <c r="I26" s="70"/>
      <c r="J26" s="67"/>
      <c r="K26" s="71"/>
      <c r="L26" s="68"/>
      <c r="M26" s="72"/>
      <c r="N26" s="73"/>
      <c r="O26" s="65"/>
      <c r="P26" s="66"/>
      <c r="Q26" s="67">
        <v>1</v>
      </c>
      <c r="R26" s="68"/>
      <c r="S26" s="69"/>
      <c r="T26" s="70"/>
      <c r="U26" s="67"/>
      <c r="V26" s="71"/>
      <c r="W26" s="68"/>
      <c r="X26" s="72"/>
      <c r="Y26" s="73"/>
      <c r="Z26" s="65"/>
      <c r="AA26" s="66"/>
      <c r="AB26" s="67">
        <v>1</v>
      </c>
      <c r="AC26" s="68"/>
      <c r="AD26" s="69"/>
      <c r="AE26" s="70"/>
      <c r="AF26" s="67"/>
      <c r="AG26" s="71"/>
      <c r="AH26" s="68"/>
      <c r="AI26" s="72"/>
      <c r="AJ26" s="73"/>
      <c r="AK26" s="65">
        <v>1</v>
      </c>
      <c r="AL26" s="66"/>
      <c r="AM26" s="67">
        <v>1</v>
      </c>
      <c r="AN26" s="68"/>
      <c r="AO26" s="69"/>
      <c r="AP26" s="70"/>
      <c r="AQ26" s="67"/>
      <c r="AR26" s="71"/>
      <c r="AS26" s="68"/>
      <c r="AT26" s="72"/>
      <c r="AU26" s="73"/>
      <c r="AV26" s="65">
        <v>1</v>
      </c>
      <c r="AW26" s="66"/>
      <c r="AX26" s="67">
        <v>1</v>
      </c>
      <c r="AY26" s="68"/>
      <c r="AZ26" s="69"/>
      <c r="BA26" s="70"/>
      <c r="BB26" s="67"/>
      <c r="BC26" s="71"/>
      <c r="BD26" s="68"/>
      <c r="BE26" s="72"/>
      <c r="BF26" s="73"/>
      <c r="BG26" s="65">
        <v>1</v>
      </c>
      <c r="BH26" s="66"/>
      <c r="BI26" s="67">
        <v>1</v>
      </c>
      <c r="BJ26" s="68"/>
      <c r="BK26" s="69"/>
      <c r="BL26" s="70"/>
      <c r="BM26" s="67"/>
      <c r="BN26" s="71"/>
      <c r="BO26" s="68"/>
      <c r="BP26" s="72"/>
      <c r="BQ26" s="73"/>
      <c r="BR26" s="65">
        <v>1</v>
      </c>
      <c r="BS26" s="66"/>
      <c r="BT26" s="67"/>
      <c r="BU26" s="68"/>
      <c r="BV26" s="69"/>
      <c r="BW26" s="70"/>
      <c r="BX26" s="67"/>
      <c r="BY26" s="71"/>
      <c r="BZ26" s="68"/>
      <c r="CA26" s="72"/>
    </row>
    <row r="27" spans="1:79" x14ac:dyDescent="0.25">
      <c r="A27" s="3"/>
      <c r="B27" s="1">
        <v>0.83333333333333337</v>
      </c>
      <c r="C27" s="1">
        <v>0.875</v>
      </c>
      <c r="D27" s="65"/>
      <c r="E27" s="66"/>
      <c r="F27" s="67">
        <v>1</v>
      </c>
      <c r="G27" s="68"/>
      <c r="H27" s="69"/>
      <c r="I27" s="70"/>
      <c r="J27" s="67"/>
      <c r="K27" s="71"/>
      <c r="L27" s="68"/>
      <c r="M27" s="72"/>
      <c r="N27" s="73"/>
      <c r="O27" s="65"/>
      <c r="P27" s="66"/>
      <c r="Q27" s="67">
        <v>1</v>
      </c>
      <c r="R27" s="68"/>
      <c r="S27" s="69"/>
      <c r="T27" s="70"/>
      <c r="U27" s="67"/>
      <c r="V27" s="71"/>
      <c r="W27" s="68"/>
      <c r="X27" s="72"/>
      <c r="Y27" s="73"/>
      <c r="Z27" s="65"/>
      <c r="AA27" s="66"/>
      <c r="AB27" s="67">
        <v>1</v>
      </c>
      <c r="AC27" s="68"/>
      <c r="AD27" s="69"/>
      <c r="AE27" s="70"/>
      <c r="AF27" s="67"/>
      <c r="AG27" s="71"/>
      <c r="AH27" s="68"/>
      <c r="AI27" s="72"/>
      <c r="AJ27" s="73"/>
      <c r="AK27" s="65">
        <v>1</v>
      </c>
      <c r="AL27" s="66"/>
      <c r="AM27" s="67">
        <v>1</v>
      </c>
      <c r="AN27" s="68"/>
      <c r="AO27" s="69"/>
      <c r="AP27" s="70"/>
      <c r="AQ27" s="67"/>
      <c r="AR27" s="71"/>
      <c r="AS27" s="68"/>
      <c r="AT27" s="72"/>
      <c r="AU27" s="73"/>
      <c r="AV27" s="65"/>
      <c r="AW27" s="66"/>
      <c r="AX27" s="67">
        <v>1</v>
      </c>
      <c r="AY27" s="68"/>
      <c r="AZ27" s="69"/>
      <c r="BA27" s="70"/>
      <c r="BB27" s="67"/>
      <c r="BC27" s="71"/>
      <c r="BD27" s="68"/>
      <c r="BE27" s="72"/>
      <c r="BF27" s="73"/>
      <c r="BG27" s="65">
        <v>1</v>
      </c>
      <c r="BH27" s="66"/>
      <c r="BI27" s="67">
        <v>1</v>
      </c>
      <c r="BJ27" s="68"/>
      <c r="BK27" s="69"/>
      <c r="BL27" s="70"/>
      <c r="BM27" s="67"/>
      <c r="BN27" s="71"/>
      <c r="BO27" s="68"/>
      <c r="BP27" s="72"/>
      <c r="BQ27" s="73"/>
      <c r="BR27" s="65">
        <v>1</v>
      </c>
      <c r="BS27" s="66"/>
      <c r="BT27" s="67"/>
      <c r="BU27" s="68"/>
      <c r="BV27" s="69"/>
      <c r="BW27" s="70"/>
      <c r="BX27" s="67"/>
      <c r="BY27" s="71"/>
      <c r="BZ27" s="68"/>
      <c r="CA27" s="72"/>
    </row>
    <row r="28" spans="1:79" x14ac:dyDescent="0.25">
      <c r="A28" s="3"/>
      <c r="B28" s="1">
        <v>0.875</v>
      </c>
      <c r="C28" s="1">
        <v>0.91666666666666696</v>
      </c>
      <c r="D28" s="65"/>
      <c r="E28" s="66"/>
      <c r="F28" s="67">
        <v>1</v>
      </c>
      <c r="G28" s="68"/>
      <c r="H28" s="69"/>
      <c r="I28" s="70"/>
      <c r="J28" s="67"/>
      <c r="K28" s="71"/>
      <c r="L28" s="68"/>
      <c r="M28" s="72"/>
      <c r="N28" s="73"/>
      <c r="O28" s="65"/>
      <c r="P28" s="66"/>
      <c r="Q28" s="67">
        <v>1</v>
      </c>
      <c r="R28" s="68"/>
      <c r="S28" s="69"/>
      <c r="T28" s="70"/>
      <c r="U28" s="67"/>
      <c r="V28" s="71"/>
      <c r="W28" s="68"/>
      <c r="X28" s="72"/>
      <c r="Y28" s="73"/>
      <c r="Z28" s="65"/>
      <c r="AA28" s="66"/>
      <c r="AB28" s="67">
        <v>1</v>
      </c>
      <c r="AC28" s="68"/>
      <c r="AD28" s="69"/>
      <c r="AE28" s="70"/>
      <c r="AF28" s="67"/>
      <c r="AG28" s="71"/>
      <c r="AH28" s="68"/>
      <c r="AI28" s="72"/>
      <c r="AJ28" s="73"/>
      <c r="AK28" s="65">
        <v>1</v>
      </c>
      <c r="AL28" s="66"/>
      <c r="AM28" s="67"/>
      <c r="AN28" s="68"/>
      <c r="AO28" s="71"/>
      <c r="AP28" s="71"/>
      <c r="AQ28" s="71"/>
      <c r="AR28" s="71"/>
      <c r="AS28" s="68"/>
      <c r="AT28" s="72"/>
      <c r="AU28" s="73"/>
      <c r="AV28" s="65"/>
      <c r="AW28" s="66"/>
      <c r="AX28" s="67">
        <v>1</v>
      </c>
      <c r="AY28" s="68"/>
      <c r="AZ28" s="69"/>
      <c r="BA28" s="70"/>
      <c r="BB28" s="67"/>
      <c r="BC28" s="71"/>
      <c r="BD28" s="68"/>
      <c r="BE28" s="72"/>
      <c r="BF28" s="73"/>
      <c r="BG28" s="65">
        <v>1</v>
      </c>
      <c r="BH28" s="66"/>
      <c r="BI28" s="67">
        <v>1</v>
      </c>
      <c r="BJ28" s="68"/>
      <c r="BK28" s="69"/>
      <c r="BL28" s="70"/>
      <c r="BM28" s="67"/>
      <c r="BN28" s="71"/>
      <c r="BO28" s="68"/>
      <c r="BP28" s="72"/>
      <c r="BQ28" s="73"/>
      <c r="BR28" s="65">
        <v>1</v>
      </c>
      <c r="BS28" s="66"/>
      <c r="BT28" s="67"/>
      <c r="BU28" s="68"/>
      <c r="BV28" s="69"/>
      <c r="BW28" s="70"/>
      <c r="BX28" s="67"/>
      <c r="BY28" s="71"/>
      <c r="BZ28" s="68"/>
      <c r="CA28" s="72"/>
    </row>
    <row r="29" spans="1:79" x14ac:dyDescent="0.25">
      <c r="A29" s="3"/>
      <c r="B29" s="43">
        <v>0.91666666666666596</v>
      </c>
      <c r="C29" s="43">
        <v>0.95833333333333404</v>
      </c>
      <c r="D29" s="16"/>
      <c r="E29" s="17"/>
      <c r="F29" s="18"/>
      <c r="G29" s="19"/>
      <c r="H29" s="20"/>
      <c r="I29" s="21"/>
      <c r="J29" s="18"/>
      <c r="K29" s="22"/>
      <c r="L29" s="19"/>
      <c r="M29" s="23"/>
      <c r="N29" s="24"/>
      <c r="O29" s="16"/>
      <c r="P29" s="17"/>
      <c r="Q29" s="18"/>
      <c r="R29" s="19"/>
      <c r="S29" s="20"/>
      <c r="T29" s="21"/>
      <c r="U29" s="18"/>
      <c r="V29" s="22"/>
      <c r="W29" s="19"/>
      <c r="X29" s="23"/>
      <c r="Y29" s="24"/>
      <c r="Z29" s="16"/>
      <c r="AA29" s="17"/>
      <c r="AB29" s="18"/>
      <c r="AC29" s="19"/>
      <c r="AD29" s="20"/>
      <c r="AE29" s="21"/>
      <c r="AF29" s="18"/>
      <c r="AG29" s="22"/>
      <c r="AH29" s="19"/>
      <c r="AI29" s="23"/>
      <c r="AJ29" s="24"/>
      <c r="AK29" s="16"/>
      <c r="AL29" s="17"/>
      <c r="AM29" s="18"/>
      <c r="AN29" s="19"/>
      <c r="AO29" s="20"/>
      <c r="AP29" s="21"/>
      <c r="AQ29" s="18"/>
      <c r="AR29" s="22"/>
      <c r="AS29" s="19"/>
      <c r="AT29" s="23"/>
      <c r="AU29" s="24"/>
      <c r="AV29" s="16"/>
      <c r="AW29" s="17"/>
      <c r="AX29" s="18"/>
      <c r="AY29" s="19"/>
      <c r="AZ29" s="20"/>
      <c r="BA29" s="21"/>
      <c r="BB29" s="18"/>
      <c r="BC29" s="22"/>
      <c r="BD29" s="19"/>
      <c r="BE29" s="23"/>
      <c r="BF29" s="24"/>
      <c r="BG29" s="16"/>
      <c r="BH29" s="17"/>
      <c r="BI29" s="18"/>
      <c r="BJ29" s="19"/>
      <c r="BK29" s="20"/>
      <c r="BL29" s="21"/>
      <c r="BM29" s="18"/>
      <c r="BN29" s="22"/>
      <c r="BO29" s="19"/>
      <c r="BP29" s="23"/>
      <c r="BQ29" s="24"/>
      <c r="BR29" s="16"/>
      <c r="BS29" s="17"/>
      <c r="BT29" s="18"/>
      <c r="BU29" s="19"/>
      <c r="BV29" s="20"/>
      <c r="BW29" s="21"/>
      <c r="BX29" s="18"/>
      <c r="BY29" s="22"/>
      <c r="BZ29" s="19"/>
      <c r="CA29" s="23"/>
    </row>
    <row r="30" spans="1:79" x14ac:dyDescent="0.25">
      <c r="A30" s="3"/>
      <c r="B30" s="43">
        <v>0.95833333333333304</v>
      </c>
      <c r="C30" s="43">
        <v>1</v>
      </c>
      <c r="D30" s="16"/>
      <c r="E30" s="17"/>
      <c r="F30" s="18"/>
      <c r="G30" s="19"/>
      <c r="H30" s="20"/>
      <c r="I30" s="21"/>
      <c r="J30" s="18"/>
      <c r="K30" s="22"/>
      <c r="L30" s="19"/>
      <c r="M30" s="23"/>
      <c r="N30" s="24"/>
      <c r="O30" s="16"/>
      <c r="P30" s="17"/>
      <c r="Q30" s="18"/>
      <c r="R30" s="19"/>
      <c r="S30" s="20"/>
      <c r="T30" s="21"/>
      <c r="U30" s="18"/>
      <c r="V30" s="22"/>
      <c r="W30" s="19"/>
      <c r="X30" s="23"/>
      <c r="Y30" s="24"/>
      <c r="Z30" s="16"/>
      <c r="AA30" s="17"/>
      <c r="AB30" s="18"/>
      <c r="AC30" s="19"/>
      <c r="AD30" s="20"/>
      <c r="AE30" s="21"/>
      <c r="AF30" s="18"/>
      <c r="AG30" s="22"/>
      <c r="AH30" s="19"/>
      <c r="AI30" s="23"/>
      <c r="AJ30" s="24"/>
      <c r="AK30" s="16"/>
      <c r="AL30" s="17"/>
      <c r="AM30" s="18"/>
      <c r="AN30" s="19"/>
      <c r="AO30" s="20"/>
      <c r="AP30" s="21"/>
      <c r="AQ30" s="18"/>
      <c r="AR30" s="22"/>
      <c r="AS30" s="19"/>
      <c r="AT30" s="23"/>
      <c r="AU30" s="24"/>
      <c r="AV30" s="16"/>
      <c r="AW30" s="17"/>
      <c r="AX30" s="18"/>
      <c r="AY30" s="19"/>
      <c r="AZ30" s="20"/>
      <c r="BA30" s="21"/>
      <c r="BB30" s="18"/>
      <c r="BC30" s="22"/>
      <c r="BD30" s="19"/>
      <c r="BE30" s="23"/>
      <c r="BF30" s="24"/>
      <c r="BG30" s="16"/>
      <c r="BH30" s="17"/>
      <c r="BI30" s="18"/>
      <c r="BJ30" s="19"/>
      <c r="BK30" s="20"/>
      <c r="BL30" s="21"/>
      <c r="BM30" s="18"/>
      <c r="BN30" s="22"/>
      <c r="BO30" s="19"/>
      <c r="BP30" s="23"/>
      <c r="BQ30" s="24"/>
      <c r="BR30" s="16"/>
      <c r="BS30" s="17"/>
      <c r="BT30" s="18"/>
      <c r="BU30" s="19"/>
      <c r="BV30" s="20"/>
      <c r="BW30" s="21"/>
      <c r="BX30" s="18"/>
      <c r="BY30" s="22"/>
      <c r="BZ30" s="19"/>
      <c r="CA30" s="23"/>
    </row>
    <row r="31" spans="1:79" x14ac:dyDescent="0.25">
      <c r="A31" s="3"/>
    </row>
    <row r="32" spans="1:79" customFormat="1" x14ac:dyDescent="0.25">
      <c r="A32" s="29"/>
      <c r="D32" s="121" t="str">
        <f>CONCATENATE("Lunes ",TEXT(DAY(C5),"00"))</f>
        <v>Lunes 31</v>
      </c>
      <c r="E32" s="121"/>
      <c r="F32" s="121"/>
      <c r="G32" s="121"/>
      <c r="H32" s="121"/>
      <c r="I32" s="121"/>
      <c r="J32" s="121"/>
      <c r="K32" s="121"/>
      <c r="L32" s="121"/>
      <c r="M32" s="121"/>
      <c r="O32" s="121" t="str">
        <f>CONCATENATE("Martes ",TEXT(DAY(C5+1),"00"))</f>
        <v>Martes 01</v>
      </c>
      <c r="P32" s="121"/>
      <c r="Q32" s="121"/>
      <c r="R32" s="121"/>
      <c r="S32" s="121"/>
      <c r="T32" s="121"/>
      <c r="U32" s="121"/>
      <c r="V32" s="121"/>
      <c r="W32" s="121"/>
      <c r="X32" s="121"/>
      <c r="Z32" s="121" t="str">
        <f>CONCATENATE("Miercoles ",TEXT(DAY(C5+2),"00"))</f>
        <v>Miercoles 02</v>
      </c>
      <c r="AA32" s="121"/>
      <c r="AB32" s="121"/>
      <c r="AC32" s="121"/>
      <c r="AD32" s="121"/>
      <c r="AE32" s="121"/>
      <c r="AF32" s="121"/>
      <c r="AG32" s="121"/>
      <c r="AH32" s="121"/>
      <c r="AI32" s="121"/>
      <c r="AK32" s="121" t="str">
        <f>CONCATENATE("Jueves ",TEXT(DAY(C5+3),"00"))</f>
        <v>Jueves 03</v>
      </c>
      <c r="AL32" s="121"/>
      <c r="AM32" s="121"/>
      <c r="AN32" s="121"/>
      <c r="AO32" s="121"/>
      <c r="AP32" s="121"/>
      <c r="AQ32" s="121"/>
      <c r="AR32" s="121"/>
      <c r="AS32" s="121"/>
      <c r="AT32" s="121"/>
      <c r="AV32" s="121" t="str">
        <f>CONCATENATE("Viernes ",TEXT(DAY(C5+4),"00"))</f>
        <v>Viernes 04</v>
      </c>
      <c r="AW32" s="121"/>
      <c r="AX32" s="121"/>
      <c r="AY32" s="121"/>
      <c r="AZ32" s="121"/>
      <c r="BA32" s="121"/>
      <c r="BB32" s="121"/>
      <c r="BC32" s="121"/>
      <c r="BD32" s="121"/>
      <c r="BE32" s="121"/>
      <c r="BG32" s="121" t="str">
        <f>CONCATENATE("Sábado ",TEXT(DAY(C5+5),"00"))</f>
        <v>Sábado 05</v>
      </c>
      <c r="BH32" s="121"/>
      <c r="BI32" s="121"/>
      <c r="BJ32" s="121"/>
      <c r="BK32" s="121"/>
      <c r="BL32" s="121"/>
      <c r="BM32" s="121"/>
      <c r="BN32" s="121"/>
      <c r="BO32" s="121"/>
      <c r="BP32" s="121"/>
      <c r="BR32" s="121" t="str">
        <f>CONCATENATE("Domingo ",TEXT(DAY(C5+6),"00"))</f>
        <v>Domingo 06</v>
      </c>
      <c r="BS32" s="121"/>
      <c r="BT32" s="121"/>
      <c r="BU32" s="121"/>
      <c r="BV32" s="121"/>
      <c r="BW32" s="121"/>
      <c r="BX32" s="121"/>
      <c r="BY32" s="121"/>
      <c r="BZ32" s="121"/>
      <c r="CA32" s="121"/>
    </row>
    <row r="33" spans="1:79" customFormat="1" ht="32.25" customHeight="1" x14ac:dyDescent="0.25">
      <c r="A33" s="29"/>
      <c r="D33" s="30" t="str">
        <f t="shared" ref="D33:M33" si="0">+D6</f>
        <v>JOSE</v>
      </c>
      <c r="E33" s="31">
        <f t="shared" si="0"/>
        <v>0</v>
      </c>
      <c r="F33" s="32" t="str">
        <f t="shared" si="0"/>
        <v xml:space="preserve">JHOSELYN </v>
      </c>
      <c r="G33" s="33">
        <f t="shared" si="0"/>
        <v>0</v>
      </c>
      <c r="H33" s="34">
        <f t="shared" si="0"/>
        <v>0</v>
      </c>
      <c r="I33" s="35">
        <f t="shared" si="0"/>
        <v>0</v>
      </c>
      <c r="J33" s="32">
        <f t="shared" si="0"/>
        <v>0</v>
      </c>
      <c r="K33" s="36">
        <f t="shared" si="0"/>
        <v>0</v>
      </c>
      <c r="L33" s="33">
        <f t="shared" si="0"/>
        <v>0</v>
      </c>
      <c r="M33" s="37">
        <f t="shared" si="0"/>
        <v>0</v>
      </c>
      <c r="O33" s="30" t="str">
        <f t="shared" ref="O33:X33" si="1">+O6</f>
        <v>JOSE</v>
      </c>
      <c r="P33" s="31">
        <f t="shared" si="1"/>
        <v>0</v>
      </c>
      <c r="Q33" s="32" t="str">
        <f t="shared" si="1"/>
        <v xml:space="preserve">JHOSELYN </v>
      </c>
      <c r="R33" s="33">
        <f t="shared" si="1"/>
        <v>0</v>
      </c>
      <c r="S33" s="34">
        <f t="shared" si="1"/>
        <v>0</v>
      </c>
      <c r="T33" s="35">
        <f t="shared" si="1"/>
        <v>0</v>
      </c>
      <c r="U33" s="32">
        <f t="shared" si="1"/>
        <v>0</v>
      </c>
      <c r="V33" s="36">
        <f t="shared" si="1"/>
        <v>0</v>
      </c>
      <c r="W33" s="33">
        <f t="shared" si="1"/>
        <v>0</v>
      </c>
      <c r="X33" s="37">
        <f t="shared" si="1"/>
        <v>0</v>
      </c>
      <c r="Z33" s="30" t="str">
        <f t="shared" ref="Z33:AI33" si="2">+Z6</f>
        <v>JOSE</v>
      </c>
      <c r="AA33" s="31">
        <f t="shared" si="2"/>
        <v>0</v>
      </c>
      <c r="AB33" s="32" t="str">
        <f t="shared" si="2"/>
        <v xml:space="preserve">JHOSELYN </v>
      </c>
      <c r="AC33" s="33">
        <f t="shared" si="2"/>
        <v>0</v>
      </c>
      <c r="AD33" s="34">
        <f t="shared" si="2"/>
        <v>0</v>
      </c>
      <c r="AE33" s="35">
        <f t="shared" si="2"/>
        <v>0</v>
      </c>
      <c r="AF33" s="32">
        <f t="shared" si="2"/>
        <v>0</v>
      </c>
      <c r="AG33" s="36">
        <f t="shared" si="2"/>
        <v>0</v>
      </c>
      <c r="AH33" s="33">
        <f t="shared" si="2"/>
        <v>0</v>
      </c>
      <c r="AI33" s="37">
        <f t="shared" si="2"/>
        <v>0</v>
      </c>
      <c r="AK33" s="30" t="str">
        <f t="shared" ref="AK33:AT33" si="3">+AK6</f>
        <v>JOSE</v>
      </c>
      <c r="AL33" s="31">
        <f t="shared" si="3"/>
        <v>0</v>
      </c>
      <c r="AM33" s="32" t="str">
        <f t="shared" si="3"/>
        <v xml:space="preserve">JHOSELYN </v>
      </c>
      <c r="AN33" s="33">
        <f t="shared" si="3"/>
        <v>0</v>
      </c>
      <c r="AO33" s="34">
        <f t="shared" si="3"/>
        <v>0</v>
      </c>
      <c r="AP33" s="35">
        <f t="shared" si="3"/>
        <v>0</v>
      </c>
      <c r="AQ33" s="32">
        <f t="shared" si="3"/>
        <v>0</v>
      </c>
      <c r="AR33" s="36">
        <f t="shared" si="3"/>
        <v>0</v>
      </c>
      <c r="AS33" s="33">
        <f t="shared" si="3"/>
        <v>0</v>
      </c>
      <c r="AT33" s="37">
        <f t="shared" si="3"/>
        <v>0</v>
      </c>
      <c r="AV33" s="30" t="str">
        <f t="shared" ref="AV33:BE33" si="4">+AV6</f>
        <v>JOSE</v>
      </c>
      <c r="AW33" s="31">
        <f t="shared" si="4"/>
        <v>0</v>
      </c>
      <c r="AX33" s="32" t="str">
        <f t="shared" si="4"/>
        <v xml:space="preserve">JHOSELYN </v>
      </c>
      <c r="AY33" s="33">
        <f t="shared" si="4"/>
        <v>0</v>
      </c>
      <c r="AZ33" s="34">
        <f t="shared" si="4"/>
        <v>0</v>
      </c>
      <c r="BA33" s="35">
        <f t="shared" si="4"/>
        <v>0</v>
      </c>
      <c r="BB33" s="32">
        <f t="shared" si="4"/>
        <v>0</v>
      </c>
      <c r="BC33" s="36">
        <f t="shared" si="4"/>
        <v>0</v>
      </c>
      <c r="BD33" s="33">
        <f t="shared" si="4"/>
        <v>0</v>
      </c>
      <c r="BE33" s="37">
        <f t="shared" si="4"/>
        <v>0</v>
      </c>
      <c r="BG33" s="30" t="str">
        <f t="shared" ref="BG33:BP33" si="5">+BG6</f>
        <v>JOSE</v>
      </c>
      <c r="BH33" s="31">
        <f t="shared" si="5"/>
        <v>0</v>
      </c>
      <c r="BI33" s="32" t="str">
        <f t="shared" si="5"/>
        <v xml:space="preserve">JHOSELYN </v>
      </c>
      <c r="BJ33" s="33">
        <f t="shared" si="5"/>
        <v>0</v>
      </c>
      <c r="BK33" s="34">
        <f t="shared" si="5"/>
        <v>0</v>
      </c>
      <c r="BL33" s="35">
        <f t="shared" si="5"/>
        <v>0</v>
      </c>
      <c r="BM33" s="32">
        <f t="shared" si="5"/>
        <v>0</v>
      </c>
      <c r="BN33" s="36">
        <f t="shared" si="5"/>
        <v>0</v>
      </c>
      <c r="BO33" s="33">
        <f t="shared" si="5"/>
        <v>0</v>
      </c>
      <c r="BP33" s="37">
        <f t="shared" si="5"/>
        <v>0</v>
      </c>
      <c r="BR33" s="30" t="str">
        <f t="shared" ref="BR33:CA33" si="6">+BR6</f>
        <v>JOSE</v>
      </c>
      <c r="BS33" s="31">
        <f t="shared" si="6"/>
        <v>0</v>
      </c>
      <c r="BT33" s="32" t="str">
        <f t="shared" si="6"/>
        <v xml:space="preserve">JHOSELYN </v>
      </c>
      <c r="BU33" s="33">
        <f t="shared" si="6"/>
        <v>0</v>
      </c>
      <c r="BV33" s="34">
        <f t="shared" si="6"/>
        <v>0</v>
      </c>
      <c r="BW33" s="35">
        <f t="shared" si="6"/>
        <v>0</v>
      </c>
      <c r="BX33" s="32">
        <f t="shared" si="6"/>
        <v>0</v>
      </c>
      <c r="BY33" s="36">
        <f t="shared" si="6"/>
        <v>0</v>
      </c>
      <c r="BZ33" s="33">
        <f t="shared" si="6"/>
        <v>0</v>
      </c>
      <c r="CA33" s="37">
        <f t="shared" si="6"/>
        <v>0</v>
      </c>
    </row>
    <row r="34" spans="1:79" s="46" customFormat="1" ht="16.5" customHeight="1" x14ac:dyDescent="0.2">
      <c r="A34" s="45"/>
      <c r="C34" s="46" t="s">
        <v>9</v>
      </c>
      <c r="D34" s="47">
        <f>SUM(D7:D30)</f>
        <v>0</v>
      </c>
      <c r="E34" s="48">
        <f t="shared" ref="E34:M34" si="7">SUM(E7:E30)</f>
        <v>0</v>
      </c>
      <c r="F34" s="49">
        <f t="shared" si="7"/>
        <v>11</v>
      </c>
      <c r="G34" s="50">
        <f t="shared" si="7"/>
        <v>0</v>
      </c>
      <c r="H34" s="51">
        <f t="shared" si="7"/>
        <v>0</v>
      </c>
      <c r="I34" s="52">
        <f t="shared" si="7"/>
        <v>0</v>
      </c>
      <c r="J34" s="49">
        <f t="shared" si="7"/>
        <v>0</v>
      </c>
      <c r="K34" s="53">
        <f t="shared" si="7"/>
        <v>0</v>
      </c>
      <c r="L34" s="50">
        <f t="shared" si="7"/>
        <v>0</v>
      </c>
      <c r="M34" s="54">
        <f t="shared" si="7"/>
        <v>0</v>
      </c>
      <c r="O34" s="47">
        <f t="shared" ref="O34:X34" si="8">SUM(O7:O30)</f>
        <v>7</v>
      </c>
      <c r="P34" s="48">
        <f t="shared" si="8"/>
        <v>0</v>
      </c>
      <c r="Q34" s="49">
        <f t="shared" si="8"/>
        <v>5</v>
      </c>
      <c r="R34" s="50">
        <f t="shared" si="8"/>
        <v>0</v>
      </c>
      <c r="S34" s="51">
        <f t="shared" si="8"/>
        <v>0</v>
      </c>
      <c r="T34" s="52">
        <f t="shared" si="8"/>
        <v>0</v>
      </c>
      <c r="U34" s="49">
        <f t="shared" si="8"/>
        <v>0</v>
      </c>
      <c r="V34" s="53">
        <f t="shared" si="8"/>
        <v>0</v>
      </c>
      <c r="W34" s="50">
        <f t="shared" si="8"/>
        <v>0</v>
      </c>
      <c r="X34" s="54">
        <f t="shared" si="8"/>
        <v>0</v>
      </c>
      <c r="Z34" s="47">
        <f t="shared" ref="Z34:AI34" si="9">SUM(Z7:Z30)</f>
        <v>7</v>
      </c>
      <c r="AA34" s="48">
        <f t="shared" si="9"/>
        <v>0</v>
      </c>
      <c r="AB34" s="49">
        <f t="shared" si="9"/>
        <v>5</v>
      </c>
      <c r="AC34" s="50">
        <f t="shared" si="9"/>
        <v>0</v>
      </c>
      <c r="AD34" s="51">
        <f t="shared" si="9"/>
        <v>0</v>
      </c>
      <c r="AE34" s="52">
        <f t="shared" si="9"/>
        <v>0</v>
      </c>
      <c r="AF34" s="49">
        <f t="shared" si="9"/>
        <v>0</v>
      </c>
      <c r="AG34" s="53">
        <f t="shared" si="9"/>
        <v>0</v>
      </c>
      <c r="AH34" s="50">
        <f t="shared" si="9"/>
        <v>0</v>
      </c>
      <c r="AI34" s="54">
        <f t="shared" si="9"/>
        <v>0</v>
      </c>
      <c r="AK34" s="47">
        <f t="shared" ref="AK34:AT34" si="10">SUM(AK7:AK30)</f>
        <v>8</v>
      </c>
      <c r="AL34" s="48">
        <f t="shared" si="10"/>
        <v>0</v>
      </c>
      <c r="AM34" s="49">
        <f t="shared" si="10"/>
        <v>5</v>
      </c>
      <c r="AN34" s="50">
        <f t="shared" si="10"/>
        <v>0</v>
      </c>
      <c r="AO34" s="51">
        <f t="shared" si="10"/>
        <v>0</v>
      </c>
      <c r="AP34" s="52">
        <f t="shared" si="10"/>
        <v>0</v>
      </c>
      <c r="AQ34" s="49">
        <f t="shared" si="10"/>
        <v>0</v>
      </c>
      <c r="AR34" s="53">
        <f t="shared" si="10"/>
        <v>0</v>
      </c>
      <c r="AS34" s="50">
        <f t="shared" si="10"/>
        <v>0</v>
      </c>
      <c r="AT34" s="54">
        <f t="shared" si="10"/>
        <v>0</v>
      </c>
      <c r="AV34" s="47">
        <f t="shared" ref="AV34:BE34" si="11">SUM(AV7:AV30)</f>
        <v>6</v>
      </c>
      <c r="AW34" s="48">
        <f t="shared" si="11"/>
        <v>0</v>
      </c>
      <c r="AX34" s="49">
        <f t="shared" si="11"/>
        <v>4</v>
      </c>
      <c r="AY34" s="50">
        <f t="shared" si="11"/>
        <v>0</v>
      </c>
      <c r="AZ34" s="51">
        <f t="shared" si="11"/>
        <v>0</v>
      </c>
      <c r="BA34" s="52">
        <f t="shared" si="11"/>
        <v>0.5</v>
      </c>
      <c r="BB34" s="49">
        <f t="shared" si="11"/>
        <v>0.5</v>
      </c>
      <c r="BC34" s="53">
        <f t="shared" si="11"/>
        <v>0</v>
      </c>
      <c r="BD34" s="50">
        <f t="shared" si="11"/>
        <v>0</v>
      </c>
      <c r="BE34" s="54">
        <f t="shared" si="11"/>
        <v>0</v>
      </c>
      <c r="BG34" s="47">
        <f t="shared" ref="BG34:BP34" si="12">SUM(BG7:BG30)</f>
        <v>8</v>
      </c>
      <c r="BH34" s="48">
        <f t="shared" si="12"/>
        <v>0</v>
      </c>
      <c r="BI34" s="49">
        <f t="shared" si="12"/>
        <v>6</v>
      </c>
      <c r="BJ34" s="50">
        <f t="shared" si="12"/>
        <v>0</v>
      </c>
      <c r="BK34" s="51">
        <f t="shared" si="12"/>
        <v>0</v>
      </c>
      <c r="BL34" s="52">
        <f t="shared" si="12"/>
        <v>0</v>
      </c>
      <c r="BM34" s="49">
        <f t="shared" si="12"/>
        <v>0</v>
      </c>
      <c r="BN34" s="53">
        <f t="shared" si="12"/>
        <v>0</v>
      </c>
      <c r="BO34" s="50">
        <f t="shared" si="12"/>
        <v>0</v>
      </c>
      <c r="BP34" s="54">
        <f t="shared" si="12"/>
        <v>0</v>
      </c>
      <c r="BR34" s="47">
        <f t="shared" ref="BR34:CA34" si="13">SUM(BR7:BR30)</f>
        <v>11</v>
      </c>
      <c r="BS34" s="48">
        <f t="shared" si="13"/>
        <v>0</v>
      </c>
      <c r="BT34" s="49">
        <f t="shared" si="13"/>
        <v>0</v>
      </c>
      <c r="BU34" s="50">
        <f t="shared" si="13"/>
        <v>0</v>
      </c>
      <c r="BV34" s="51">
        <f t="shared" si="13"/>
        <v>0</v>
      </c>
      <c r="BW34" s="52">
        <f t="shared" si="13"/>
        <v>0</v>
      </c>
      <c r="BX34" s="49">
        <f t="shared" si="13"/>
        <v>0</v>
      </c>
      <c r="BY34" s="53">
        <f t="shared" si="13"/>
        <v>0</v>
      </c>
      <c r="BZ34" s="50">
        <f t="shared" si="13"/>
        <v>0</v>
      </c>
      <c r="CA34" s="54">
        <f t="shared" si="13"/>
        <v>0</v>
      </c>
    </row>
    <row r="35" spans="1:79" s="39" customFormat="1" ht="11.25" hidden="1" customHeight="1" x14ac:dyDescent="0.2">
      <c r="A35" s="38"/>
      <c r="C35" s="122" t="s">
        <v>10</v>
      </c>
      <c r="D35" s="119" t="str">
        <f>+_xlfn.CONCAT(IF(AND(D14=0.5,D15=0.5),"8:30 AM - 9:30 AM",IF(AND(D14=0.5,D15=0.5,COUNT(D16:D17)&lt;2),"8:30 AM - 9:30 AM",""))," Y ",IF(SUM(D15:D30)&gt;=7.5,"",""))</f>
        <v xml:space="preserve"> Y </v>
      </c>
      <c r="E35" s="120" t="str">
        <f t="shared" ref="E35:M35" si="14">+IF(AND(E14=0.5,E15=0.5),"8:30 AM - 9:30 AM","")</f>
        <v/>
      </c>
      <c r="F35" s="115" t="str">
        <f t="shared" si="14"/>
        <v/>
      </c>
      <c r="G35" s="106" t="str">
        <f t="shared" si="14"/>
        <v/>
      </c>
      <c r="H35" s="116" t="str">
        <f t="shared" si="14"/>
        <v/>
      </c>
      <c r="I35" s="117" t="str">
        <f t="shared" si="14"/>
        <v/>
      </c>
      <c r="J35" s="115" t="str">
        <f t="shared" si="14"/>
        <v/>
      </c>
      <c r="K35" s="118" t="str">
        <f t="shared" si="14"/>
        <v/>
      </c>
      <c r="L35" s="106" t="str">
        <f t="shared" si="14"/>
        <v/>
      </c>
      <c r="M35" s="107" t="str">
        <f t="shared" si="14"/>
        <v/>
      </c>
      <c r="N35" s="42"/>
      <c r="O35" s="119"/>
      <c r="P35" s="120"/>
      <c r="Q35" s="115"/>
      <c r="R35" s="106"/>
      <c r="S35" s="116"/>
      <c r="T35" s="117"/>
      <c r="U35" s="115"/>
      <c r="V35" s="118"/>
      <c r="W35" s="106"/>
      <c r="X35" s="107"/>
      <c r="Y35" s="42"/>
      <c r="Z35" s="119"/>
      <c r="AA35" s="120"/>
      <c r="AB35" s="115"/>
      <c r="AC35" s="106"/>
      <c r="AD35" s="116"/>
      <c r="AE35" s="117"/>
      <c r="AF35" s="115"/>
      <c r="AG35" s="118"/>
      <c r="AH35" s="106"/>
      <c r="AI35" s="107"/>
      <c r="AJ35" s="42"/>
      <c r="AK35" s="119"/>
      <c r="AL35" s="120"/>
      <c r="AM35" s="115"/>
      <c r="AN35" s="106"/>
      <c r="AO35" s="116"/>
      <c r="AP35" s="117"/>
      <c r="AQ35" s="115"/>
      <c r="AR35" s="118"/>
      <c r="AS35" s="106"/>
      <c r="AT35" s="107"/>
      <c r="AU35" s="42"/>
      <c r="AV35" s="119"/>
      <c r="AW35" s="120"/>
      <c r="AX35" s="115"/>
      <c r="AY35" s="106"/>
      <c r="AZ35" s="116"/>
      <c r="BA35" s="117"/>
      <c r="BB35" s="115"/>
      <c r="BC35" s="118"/>
      <c r="BD35" s="106"/>
      <c r="BE35" s="107"/>
      <c r="BF35" s="42"/>
      <c r="BG35" s="119"/>
      <c r="BH35" s="120"/>
      <c r="BI35" s="115"/>
      <c r="BJ35" s="106"/>
      <c r="BK35" s="116"/>
      <c r="BL35" s="117"/>
      <c r="BM35" s="115"/>
      <c r="BN35" s="118"/>
      <c r="BO35" s="106"/>
      <c r="BP35" s="107"/>
      <c r="BQ35" s="42"/>
      <c r="BR35" s="119"/>
      <c r="BS35" s="120"/>
      <c r="BT35" s="115"/>
      <c r="BU35" s="106"/>
      <c r="BV35" s="116"/>
      <c r="BW35" s="117"/>
      <c r="BX35" s="115"/>
      <c r="BY35" s="118"/>
      <c r="BZ35" s="106"/>
      <c r="CA35" s="107"/>
    </row>
    <row r="36" spans="1:79" ht="15" hidden="1" customHeight="1" x14ac:dyDescent="0.25">
      <c r="A36" s="3"/>
      <c r="C36" s="122"/>
      <c r="D36" s="119"/>
      <c r="E36" s="120"/>
      <c r="F36" s="115"/>
      <c r="G36" s="106"/>
      <c r="H36" s="116"/>
      <c r="I36" s="117"/>
      <c r="J36" s="115"/>
      <c r="K36" s="118"/>
      <c r="L36" s="106"/>
      <c r="M36" s="107"/>
      <c r="N36" s="40"/>
      <c r="O36" s="119"/>
      <c r="P36" s="120"/>
      <c r="Q36" s="115"/>
      <c r="R36" s="106"/>
      <c r="S36" s="116"/>
      <c r="T36" s="117"/>
      <c r="U36" s="115"/>
      <c r="V36" s="118"/>
      <c r="W36" s="106"/>
      <c r="X36" s="107"/>
      <c r="Y36" s="40"/>
      <c r="Z36" s="119"/>
      <c r="AA36" s="120"/>
      <c r="AB36" s="115"/>
      <c r="AC36" s="106"/>
      <c r="AD36" s="116"/>
      <c r="AE36" s="117"/>
      <c r="AF36" s="115"/>
      <c r="AG36" s="118"/>
      <c r="AH36" s="106"/>
      <c r="AI36" s="107"/>
      <c r="AJ36" s="40"/>
      <c r="AK36" s="119"/>
      <c r="AL36" s="120"/>
      <c r="AM36" s="115"/>
      <c r="AN36" s="106"/>
      <c r="AO36" s="116"/>
      <c r="AP36" s="117"/>
      <c r="AQ36" s="115"/>
      <c r="AR36" s="118"/>
      <c r="AS36" s="106"/>
      <c r="AT36" s="107"/>
      <c r="AU36" s="40"/>
      <c r="AV36" s="119"/>
      <c r="AW36" s="120"/>
      <c r="AX36" s="115"/>
      <c r="AY36" s="106"/>
      <c r="AZ36" s="116"/>
      <c r="BA36" s="117"/>
      <c r="BB36" s="115"/>
      <c r="BC36" s="118"/>
      <c r="BD36" s="106"/>
      <c r="BE36" s="107"/>
      <c r="BF36" s="40"/>
      <c r="BG36" s="119"/>
      <c r="BH36" s="120"/>
      <c r="BI36" s="115"/>
      <c r="BJ36" s="106"/>
      <c r="BK36" s="116"/>
      <c r="BL36" s="117"/>
      <c r="BM36" s="115"/>
      <c r="BN36" s="118"/>
      <c r="BO36" s="106"/>
      <c r="BP36" s="107"/>
      <c r="BQ36" s="40"/>
      <c r="BR36" s="119"/>
      <c r="BS36" s="120"/>
      <c r="BT36" s="115"/>
      <c r="BU36" s="106"/>
      <c r="BV36" s="116"/>
      <c r="BW36" s="117"/>
      <c r="BX36" s="115"/>
      <c r="BY36" s="118"/>
      <c r="BZ36" s="106"/>
      <c r="CA36" s="107"/>
    </row>
    <row r="37" spans="1:79" x14ac:dyDescent="0.25">
      <c r="A37" s="3"/>
      <c r="D37" s="25"/>
      <c r="E37" s="25"/>
      <c r="F37" s="25"/>
      <c r="G37" s="25"/>
      <c r="H37" s="25"/>
      <c r="I37" s="25"/>
      <c r="J37" s="25"/>
      <c r="K37" s="25"/>
      <c r="L37" s="25"/>
      <c r="M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</row>
    <row r="38" spans="1:79" x14ac:dyDescent="0.25">
      <c r="A38" s="3"/>
      <c r="B38" s="26" t="s">
        <v>3</v>
      </c>
      <c r="C38" s="27"/>
      <c r="D38" s="27"/>
      <c r="E38" s="27"/>
      <c r="F38" s="27"/>
      <c r="G38" s="27"/>
      <c r="H38" s="27"/>
      <c r="I38" s="27"/>
      <c r="J38" s="28"/>
      <c r="K38" s="78" t="s">
        <v>12</v>
      </c>
      <c r="L38" s="75" t="s">
        <v>4</v>
      </c>
      <c r="M38" s="76"/>
      <c r="N38" s="7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</row>
    <row r="39" spans="1:79" x14ac:dyDescent="0.25">
      <c r="A39" s="3"/>
      <c r="B39" s="108" t="s">
        <v>45</v>
      </c>
      <c r="C39" s="109"/>
      <c r="D39" s="109"/>
      <c r="E39" s="109"/>
      <c r="F39" s="109"/>
      <c r="G39" s="109"/>
      <c r="H39" s="109"/>
      <c r="I39" s="109"/>
      <c r="J39" s="110"/>
      <c r="K39" s="55">
        <f>+D34+O34+Z34+AK34+AV34+BG34+BR34</f>
        <v>47</v>
      </c>
      <c r="L39" s="111"/>
      <c r="M39" s="111"/>
      <c r="N39" s="11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</row>
    <row r="40" spans="1:79" x14ac:dyDescent="0.25">
      <c r="A40" s="3"/>
      <c r="B40" s="112"/>
      <c r="C40" s="113"/>
      <c r="D40" s="113"/>
      <c r="E40" s="113"/>
      <c r="F40" s="113"/>
      <c r="G40" s="113"/>
      <c r="H40" s="113"/>
      <c r="I40" s="113"/>
      <c r="J40" s="114"/>
      <c r="K40" s="56">
        <f>+E34+P34+AA34+AL34+AW34+BH34+BS34</f>
        <v>0</v>
      </c>
      <c r="L40" s="111"/>
      <c r="M40" s="111"/>
      <c r="N40" s="111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</row>
    <row r="41" spans="1:79" x14ac:dyDescent="0.25">
      <c r="A41" s="3"/>
      <c r="B41" s="91" t="s">
        <v>46</v>
      </c>
      <c r="C41" s="92"/>
      <c r="D41" s="92"/>
      <c r="E41" s="92"/>
      <c r="F41" s="92"/>
      <c r="G41" s="92"/>
      <c r="H41" s="92"/>
      <c r="I41" s="92"/>
      <c r="J41" s="93"/>
      <c r="K41" s="57">
        <f>+F34+Q34+AB34+AM34+AX34+BI34+BT34</f>
        <v>36</v>
      </c>
      <c r="L41" s="100"/>
      <c r="M41" s="101"/>
      <c r="N41" s="1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</row>
    <row r="42" spans="1:79" x14ac:dyDescent="0.25">
      <c r="A42" s="3"/>
      <c r="B42" s="81"/>
      <c r="C42" s="82"/>
      <c r="D42" s="82"/>
      <c r="E42" s="82"/>
      <c r="F42" s="82"/>
      <c r="G42" s="82"/>
      <c r="H42" s="82"/>
      <c r="I42" s="82"/>
      <c r="J42" s="83"/>
      <c r="K42" s="58">
        <f>+G34+R34+AC34+AN34+AY34+BJ34+BU34</f>
        <v>0</v>
      </c>
      <c r="L42" s="100"/>
      <c r="M42" s="101"/>
      <c r="N42" s="10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</row>
    <row r="43" spans="1:79" x14ac:dyDescent="0.25">
      <c r="B43" s="103"/>
      <c r="C43" s="104"/>
      <c r="D43" s="104"/>
      <c r="E43" s="104"/>
      <c r="F43" s="104"/>
      <c r="G43" s="104"/>
      <c r="H43" s="104"/>
      <c r="I43" s="104"/>
      <c r="J43" s="105"/>
      <c r="K43" s="59">
        <f>+H34+S34+AD34+AO34+AZ34+BK34+BV34</f>
        <v>0</v>
      </c>
      <c r="L43" s="84"/>
      <c r="M43" s="84"/>
      <c r="N43" s="84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</row>
    <row r="44" spans="1:79" ht="15" hidden="1" customHeight="1" x14ac:dyDescent="0.25">
      <c r="B44" s="88"/>
      <c r="C44" s="89"/>
      <c r="D44" s="89"/>
      <c r="E44" s="89"/>
      <c r="F44" s="89"/>
      <c r="G44" s="89"/>
      <c r="H44" s="89"/>
      <c r="I44" s="89"/>
      <c r="J44" s="90"/>
      <c r="K44" s="60">
        <f>+I34+T34+AE34+AP34+BA34+BL34+BW34</f>
        <v>0.5</v>
      </c>
      <c r="L44" s="84"/>
      <c r="M44" s="84"/>
      <c r="N44" s="8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</row>
    <row r="45" spans="1:79" ht="15" hidden="1" customHeight="1" x14ac:dyDescent="0.25">
      <c r="B45" s="91"/>
      <c r="C45" s="92"/>
      <c r="D45" s="92"/>
      <c r="E45" s="92"/>
      <c r="F45" s="92"/>
      <c r="G45" s="92"/>
      <c r="H45" s="92"/>
      <c r="I45" s="92"/>
      <c r="J45" s="93"/>
      <c r="K45" s="57">
        <f>+J34+U34+AF34+AQ34+BB34+BM34+BX34</f>
        <v>0.5</v>
      </c>
      <c r="L45" s="94"/>
      <c r="M45" s="95"/>
      <c r="N45" s="96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</row>
    <row r="46" spans="1:79" ht="15" hidden="1" customHeight="1" x14ac:dyDescent="0.25">
      <c r="B46" s="97"/>
      <c r="C46" s="98"/>
      <c r="D46" s="98"/>
      <c r="E46" s="98"/>
      <c r="F46" s="98"/>
      <c r="G46" s="98"/>
      <c r="H46" s="98"/>
      <c r="I46" s="98"/>
      <c r="J46" s="99"/>
      <c r="K46" s="61">
        <f>+K34+V34+AG34+AR34+BC34+BN34+BY34</f>
        <v>0</v>
      </c>
      <c r="L46" s="94"/>
      <c r="M46" s="95"/>
      <c r="N46" s="9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</row>
    <row r="47" spans="1:79" x14ac:dyDescent="0.25">
      <c r="B47" s="81"/>
      <c r="C47" s="82"/>
      <c r="D47" s="82"/>
      <c r="E47" s="82"/>
      <c r="F47" s="82"/>
      <c r="G47" s="82"/>
      <c r="H47" s="82"/>
      <c r="I47" s="82"/>
      <c r="J47" s="83"/>
      <c r="K47" s="58">
        <f>+L34+W34+AH34+AS34+BD34+BO34+BZ34</f>
        <v>0</v>
      </c>
      <c r="L47" s="84"/>
      <c r="M47" s="84"/>
      <c r="N47" s="84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</row>
    <row r="48" spans="1:79" x14ac:dyDescent="0.25">
      <c r="B48" s="85"/>
      <c r="C48" s="86"/>
      <c r="D48" s="86"/>
      <c r="E48" s="86"/>
      <c r="F48" s="86"/>
      <c r="G48" s="86"/>
      <c r="H48" s="86"/>
      <c r="I48" s="86"/>
      <c r="J48" s="87"/>
      <c r="K48" s="62">
        <f>+M34+X34+AI34+AT34+BE34+BP34+CA34</f>
        <v>0</v>
      </c>
      <c r="L48" s="84"/>
      <c r="M48" s="84"/>
      <c r="N48" s="84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</row>
  </sheetData>
  <sheetProtection algorithmName="SHA-512" hashValue="1GNBMAT1/lMWO/V2Y3tRIyA4awb98eIh64EBQXwBYo/ZmY9Eqjviz71eIxs3Og92lDn4ot3f76jaBi301sXaHg==" saltValue="C6boYn0CeKbNVj3lECrTew==" spinCount="100000" sheet="1" selectLockedCells="1"/>
  <mergeCells count="98">
    <mergeCell ref="B47:J47"/>
    <mergeCell ref="L47:N47"/>
    <mergeCell ref="B48:J48"/>
    <mergeCell ref="L48:N48"/>
    <mergeCell ref="B44:J44"/>
    <mergeCell ref="L44:N44"/>
    <mergeCell ref="B45:J45"/>
    <mergeCell ref="L45:N45"/>
    <mergeCell ref="B46:J46"/>
    <mergeCell ref="L46:N46"/>
    <mergeCell ref="B41:J41"/>
    <mergeCell ref="L41:N41"/>
    <mergeCell ref="B42:J42"/>
    <mergeCell ref="L42:N42"/>
    <mergeCell ref="B43:J43"/>
    <mergeCell ref="L43:N43"/>
    <mergeCell ref="BZ35:BZ36"/>
    <mergeCell ref="CA35:CA36"/>
    <mergeCell ref="B39:J39"/>
    <mergeCell ref="L39:N39"/>
    <mergeCell ref="B40:J40"/>
    <mergeCell ref="L40:N40"/>
    <mergeCell ref="BT35:BT36"/>
    <mergeCell ref="BU35:BU36"/>
    <mergeCell ref="BV35:BV36"/>
    <mergeCell ref="BW35:BW36"/>
    <mergeCell ref="BX35:BX36"/>
    <mergeCell ref="BY35:BY36"/>
    <mergeCell ref="BM35:BM36"/>
    <mergeCell ref="BN35:BN36"/>
    <mergeCell ref="BO35:BO36"/>
    <mergeCell ref="BP35:BP36"/>
    <mergeCell ref="BR35:BR36"/>
    <mergeCell ref="BS35:BS36"/>
    <mergeCell ref="BG35:BG36"/>
    <mergeCell ref="BH35:BH36"/>
    <mergeCell ref="BI35:BI36"/>
    <mergeCell ref="BJ35:BJ36"/>
    <mergeCell ref="BK35:BK36"/>
    <mergeCell ref="BL35:BL36"/>
    <mergeCell ref="AZ35:AZ36"/>
    <mergeCell ref="BA35:BA36"/>
    <mergeCell ref="BB35:BB36"/>
    <mergeCell ref="BC35:BC36"/>
    <mergeCell ref="BD35:BD36"/>
    <mergeCell ref="BE35:BE36"/>
    <mergeCell ref="AS35:AS36"/>
    <mergeCell ref="AT35:AT36"/>
    <mergeCell ref="AV35:AV36"/>
    <mergeCell ref="AW35:AW36"/>
    <mergeCell ref="AX35:AX36"/>
    <mergeCell ref="AY35:AY36"/>
    <mergeCell ref="AM35:AM36"/>
    <mergeCell ref="AN35:AN36"/>
    <mergeCell ref="AO35:AO36"/>
    <mergeCell ref="AP35:AP36"/>
    <mergeCell ref="AQ35:AQ36"/>
    <mergeCell ref="AR35:AR36"/>
    <mergeCell ref="AF35:AF36"/>
    <mergeCell ref="AG35:AG36"/>
    <mergeCell ref="AH35:AH36"/>
    <mergeCell ref="AI35:AI36"/>
    <mergeCell ref="AK35:AK36"/>
    <mergeCell ref="AL35:AL36"/>
    <mergeCell ref="Z35:Z36"/>
    <mergeCell ref="AA35:AA36"/>
    <mergeCell ref="AB35:AB36"/>
    <mergeCell ref="AC35:AC36"/>
    <mergeCell ref="AD35:AD36"/>
    <mergeCell ref="AE35:AE36"/>
    <mergeCell ref="S35:S36"/>
    <mergeCell ref="T35:T36"/>
    <mergeCell ref="U35:U36"/>
    <mergeCell ref="V35:V36"/>
    <mergeCell ref="W35:W36"/>
    <mergeCell ref="X35:X36"/>
    <mergeCell ref="L35:L36"/>
    <mergeCell ref="M35:M36"/>
    <mergeCell ref="O35:O36"/>
    <mergeCell ref="P35:P36"/>
    <mergeCell ref="Q35:Q36"/>
    <mergeCell ref="R35:R36"/>
    <mergeCell ref="BR32:CA32"/>
    <mergeCell ref="C35:C36"/>
    <mergeCell ref="D35:D36"/>
    <mergeCell ref="E35:E36"/>
    <mergeCell ref="F35:F36"/>
    <mergeCell ref="G35:G36"/>
    <mergeCell ref="H35:H36"/>
    <mergeCell ref="I35:I36"/>
    <mergeCell ref="J35:J36"/>
    <mergeCell ref="K35:K36"/>
    <mergeCell ref="D32:M32"/>
    <mergeCell ref="O32:X32"/>
    <mergeCell ref="Z32:AI32"/>
    <mergeCell ref="AK32:AT32"/>
    <mergeCell ref="AV32:BE32"/>
    <mergeCell ref="BG32:BP32"/>
  </mergeCells>
  <conditionalFormatting sqref="D7:M14 D29:M30">
    <cfRule type="expression" dxfId="12" priority="13">
      <formula>IF(OR(D7=0,D7=""),TRUE(),FALSE())</formula>
    </cfRule>
  </conditionalFormatting>
  <conditionalFormatting sqref="BG16:BN16 BP16 BG15:BP15 D15:M28 BG17:BP28">
    <cfRule type="expression" dxfId="11" priority="12">
      <formula>IF(OR(D15=0,D15=""),TRUE(),FALSE())</formula>
    </cfRule>
  </conditionalFormatting>
  <conditionalFormatting sqref="O7:X14 O29:X30">
    <cfRule type="expression" dxfId="10" priority="11">
      <formula>IF(OR(O7=0,O7=""),TRUE(),FALSE())</formula>
    </cfRule>
  </conditionalFormatting>
  <conditionalFormatting sqref="O15:X28">
    <cfRule type="expression" dxfId="9" priority="10">
      <formula>IF(OR(O15=0,O15=""),TRUE(),FALSE())</formula>
    </cfRule>
  </conditionalFormatting>
  <conditionalFormatting sqref="Z7:AI14 Z29:AI30">
    <cfRule type="expression" dxfId="8" priority="9">
      <formula>IF(OR(Z7=0,Z7=""),TRUE(),FALSE())</formula>
    </cfRule>
  </conditionalFormatting>
  <conditionalFormatting sqref="Z15:AI28">
    <cfRule type="expression" dxfId="7" priority="8">
      <formula>IF(OR(Z15=0,Z15=""),TRUE(),FALSE())</formula>
    </cfRule>
  </conditionalFormatting>
  <conditionalFormatting sqref="AK7:AT14 AK29:AT30">
    <cfRule type="expression" dxfId="6" priority="7">
      <formula>IF(OR(AK7=0,AK7=""),TRUE(),FALSE())</formula>
    </cfRule>
  </conditionalFormatting>
  <conditionalFormatting sqref="AK15:AT28">
    <cfRule type="expression" dxfId="5" priority="6">
      <formula>IF(OR(AK15=0,AK15=""),TRUE(),FALSE())</formula>
    </cfRule>
  </conditionalFormatting>
  <conditionalFormatting sqref="AV7:BE14 AV29:BE30">
    <cfRule type="expression" dxfId="4" priority="5">
      <formula>IF(OR(AV7=0,AV7=""),TRUE(),FALSE())</formula>
    </cfRule>
  </conditionalFormatting>
  <conditionalFormatting sqref="AV15:BE28">
    <cfRule type="expression" dxfId="3" priority="4">
      <formula>IF(OR(AV15=0,AV15=""),TRUE(),FALSE())</formula>
    </cfRule>
  </conditionalFormatting>
  <conditionalFormatting sqref="BG7:BP14 BG29:BP30">
    <cfRule type="expression" dxfId="2" priority="3">
      <formula>IF(OR(BG7=0,BG7=""),TRUE(),FALSE())</formula>
    </cfRule>
  </conditionalFormatting>
  <conditionalFormatting sqref="BR7:CA14 BR29:CA30">
    <cfRule type="expression" dxfId="1" priority="2">
      <formula>IF(OR(BR7=0,BR7=""),TRUE(),FALSE())</formula>
    </cfRule>
  </conditionalFormatting>
  <conditionalFormatting sqref="BR15:CA28">
    <cfRule type="expression" dxfId="0" priority="1">
      <formula>IF(OR(BR15=0,BR15=""),TRUE(),FALSE())</formula>
    </cfRule>
  </conditionalFormatting>
  <dataValidations count="1">
    <dataValidation type="list" allowBlank="1" showInputMessage="1" showErrorMessage="1" sqref="D7:M30 O7:X30 Z7:AI30 AK7:AT30 AV7:BE30 BR7:CA30 BG7:BP15 BG17:BP30 BG16:BN16 BP16" xr:uid="{83647E64-81BC-4A38-90D0-C4857E3A39B9}">
      <formula1>"DM,LAC,LM,VAC,1,0.5"</formula1>
    </dataValidation>
  </dataValidations>
  <pageMargins left="0.7" right="0.7" top="0.75" bottom="0.75" header="0.3" footer="0.3"/>
  <pageSetup paperSize="9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27</vt:i4>
      </vt:variant>
    </vt:vector>
  </HeadingPairs>
  <TitlesOfParts>
    <vt:vector size="27" baseType="lpstr">
      <vt:lpstr>2 AL 8 MARZO</vt:lpstr>
      <vt:lpstr>9 AL 15 MARZO </vt:lpstr>
      <vt:lpstr>16 AL 22 MARZO </vt:lpstr>
      <vt:lpstr>23 AL 29 MARZO  </vt:lpstr>
      <vt:lpstr>30 AL 5 MARZO </vt:lpstr>
      <vt:lpstr>6 AL 12 MARZO</vt:lpstr>
      <vt:lpstr>13 AL 19 MARZO</vt:lpstr>
      <vt:lpstr>20 AL 26 MARZO</vt:lpstr>
      <vt:lpstr>27 AL 02 MAYO  </vt:lpstr>
      <vt:lpstr>03 AL 10 MAYO </vt:lpstr>
      <vt:lpstr>11 AL 17 MAYO  </vt:lpstr>
      <vt:lpstr>18 AL 24 MAYO  </vt:lpstr>
      <vt:lpstr>25 AL 31 MAYO </vt:lpstr>
      <vt:lpstr>1 AL 7 JUNIO  </vt:lpstr>
      <vt:lpstr>8 AL 14 JUNIO</vt:lpstr>
      <vt:lpstr>15 AL 21 JUNIO </vt:lpstr>
      <vt:lpstr>22 AL 28 JUNIO</vt:lpstr>
      <vt:lpstr>29 AL 5 JULIO </vt:lpstr>
      <vt:lpstr>6 AL 12 JULIO </vt:lpstr>
      <vt:lpstr>13 AL 19 JULIO</vt:lpstr>
      <vt:lpstr>20 AL 26 JULIO </vt:lpstr>
      <vt:lpstr>27 AL 02 AGOSTO</vt:lpstr>
      <vt:lpstr>03 AL 09 AGOSTO</vt:lpstr>
      <vt:lpstr>10 AL 16 AGOSTO</vt:lpstr>
      <vt:lpstr>17 AL 23 AGOSTO</vt:lpstr>
      <vt:lpstr>24 AL 30 AGOSTO</vt:lpstr>
      <vt:lpstr>31 AL 06 SEPTIEMBRE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RRHH BISSÚ</dc:creator>
  <cp:lastModifiedBy>USER</cp:lastModifiedBy>
  <dcterms:created xsi:type="dcterms:W3CDTF">2026-02-03T21:33:23Z</dcterms:created>
  <dcterms:modified xsi:type="dcterms:W3CDTF">2026-08-27T02:46:57Z</dcterms:modified>
</cp:coreProperties>
</file>