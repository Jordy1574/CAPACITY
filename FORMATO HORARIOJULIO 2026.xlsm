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igitte Zona 1\Desktop\"/>
    </mc:Choice>
  </mc:AlternateContent>
  <xr:revisionPtr revIDLastSave="0" documentId="13_ncr:1_{995EB039-1D84-44A3-B608-A0DEF0707882}" xr6:coauthVersionLast="47" xr6:coauthVersionMax="47" xr10:uidLastSave="{00000000-0000-0000-0000-000000000000}"/>
  <bookViews>
    <workbookView xWindow="-108" yWindow="-108" windowWidth="23256" windowHeight="12456" activeTab="1" xr2:uid="{C3450C95-BCD9-4FDE-AF26-DA7C86B6A4F9}"/>
  </bookViews>
  <sheets>
    <sheet name="24 al 30 de agosto" sheetId="23" r:id="rId1"/>
    <sheet name="24 al 30 de agosto (2)" sheetId="24" r:id="rId2"/>
    <sheet name="02 AL 08 MAR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2" i="24" l="1"/>
  <c r="B41" i="24"/>
  <c r="G35" i="24"/>
  <c r="E35" i="24"/>
  <c r="D35" i="24"/>
  <c r="AV34" i="24"/>
  <c r="AU34" i="24"/>
  <c r="AT34" i="24"/>
  <c r="AS34" i="24"/>
  <c r="AR34" i="24"/>
  <c r="AQ34" i="24"/>
  <c r="AO34" i="24"/>
  <c r="AN34" i="24"/>
  <c r="AM34" i="24"/>
  <c r="AL34" i="24"/>
  <c r="AK34" i="24"/>
  <c r="AJ34" i="24"/>
  <c r="AH34" i="24"/>
  <c r="AG34" i="24"/>
  <c r="AF34" i="24"/>
  <c r="AE34" i="24"/>
  <c r="AD34" i="24"/>
  <c r="AC34" i="24"/>
  <c r="AA34" i="24"/>
  <c r="Z34" i="24"/>
  <c r="Y34" i="24"/>
  <c r="X34" i="24"/>
  <c r="K42" i="24" s="1"/>
  <c r="W34" i="24"/>
  <c r="V34" i="24"/>
  <c r="T34" i="24"/>
  <c r="S34" i="24"/>
  <c r="K41" i="24" s="1"/>
  <c r="R34" i="24"/>
  <c r="Q34" i="24"/>
  <c r="P34" i="24"/>
  <c r="K40" i="24" s="1"/>
  <c r="O34" i="24"/>
  <c r="K39" i="24" s="1"/>
  <c r="M34" i="24"/>
  <c r="L34" i="24"/>
  <c r="G34" i="24"/>
  <c r="AV33" i="24"/>
  <c r="AU33" i="24"/>
  <c r="AT33" i="24"/>
  <c r="AS33" i="24"/>
  <c r="AR33" i="24"/>
  <c r="AQ33" i="24"/>
  <c r="AM33" i="24"/>
  <c r="AL33" i="24"/>
  <c r="AK33" i="24"/>
  <c r="AJ33" i="24"/>
  <c r="AH33" i="24"/>
  <c r="AG33" i="24"/>
  <c r="AF33" i="24"/>
  <c r="AE33" i="24"/>
  <c r="AD33" i="24"/>
  <c r="AC33" i="24"/>
  <c r="AA33" i="24"/>
  <c r="Z33" i="24"/>
  <c r="Y33" i="24"/>
  <c r="X33" i="24"/>
  <c r="W33" i="24"/>
  <c r="B40" i="24" s="1"/>
  <c r="V33" i="24"/>
  <c r="T33" i="24"/>
  <c r="S33" i="24"/>
  <c r="R33" i="24"/>
  <c r="Q33" i="24"/>
  <c r="P33" i="24"/>
  <c r="O33" i="24"/>
  <c r="B39" i="24" s="1"/>
  <c r="M33" i="24"/>
  <c r="L33" i="24"/>
  <c r="G33" i="24"/>
  <c r="AQ32" i="24"/>
  <c r="AC32" i="24"/>
  <c r="V32" i="24"/>
  <c r="O32" i="24"/>
  <c r="I32" i="24"/>
  <c r="D32" i="24"/>
  <c r="AQ5" i="24"/>
  <c r="AJ5" i="24"/>
  <c r="AC5" i="24"/>
  <c r="V5" i="24"/>
  <c r="O5" i="24"/>
  <c r="I5" i="24"/>
  <c r="D5" i="24"/>
  <c r="D2" i="24"/>
  <c r="A1" i="24" a="1"/>
  <c r="A1" i="24" s="1"/>
  <c r="A1" i="23" a="1"/>
  <c r="A1" i="23" s="1"/>
  <c r="K42" i="23"/>
  <c r="AS33" i="23"/>
  <c r="AS34" i="23"/>
  <c r="AL33" i="23"/>
  <c r="AL34" i="23"/>
  <c r="AE33" i="23"/>
  <c r="AE34" i="23"/>
  <c r="X33" i="23"/>
  <c r="B42" i="23" s="1"/>
  <c r="X34" i="23"/>
  <c r="S33" i="23"/>
  <c r="AM33" i="23"/>
  <c r="AK33" i="23"/>
  <c r="AJ33" i="23"/>
  <c r="G35" i="23"/>
  <c r="E35" i="23"/>
  <c r="D35" i="23"/>
  <c r="AV34" i="23"/>
  <c r="AU34" i="23"/>
  <c r="AT34" i="23"/>
  <c r="AR34" i="23"/>
  <c r="AQ34" i="23"/>
  <c r="AO34" i="23"/>
  <c r="AN34" i="23"/>
  <c r="AM34" i="23"/>
  <c r="AK34" i="23"/>
  <c r="AJ34" i="23"/>
  <c r="AH34" i="23"/>
  <c r="AG34" i="23"/>
  <c r="AF34" i="23"/>
  <c r="AD34" i="23"/>
  <c r="AC34" i="23"/>
  <c r="AA34" i="23"/>
  <c r="Z34" i="23"/>
  <c r="Y34" i="23"/>
  <c r="W34" i="23"/>
  <c r="V34" i="23"/>
  <c r="T34" i="23"/>
  <c r="S34" i="23"/>
  <c r="R34" i="23"/>
  <c r="Q34" i="23"/>
  <c r="P34" i="23"/>
  <c r="O34" i="23"/>
  <c r="M34" i="23"/>
  <c r="L34" i="23"/>
  <c r="G34" i="23"/>
  <c r="AV33" i="23"/>
  <c r="AU33" i="23"/>
  <c r="AT33" i="23"/>
  <c r="AR33" i="23"/>
  <c r="AQ33" i="23"/>
  <c r="AH33" i="23"/>
  <c r="AG33" i="23"/>
  <c r="AF33" i="23"/>
  <c r="B41" i="23" s="1"/>
  <c r="AD33" i="23"/>
  <c r="AC33" i="23"/>
  <c r="AA33" i="23"/>
  <c r="Z33" i="23"/>
  <c r="Y33" i="23"/>
  <c r="W33" i="23"/>
  <c r="B40" i="23" s="1"/>
  <c r="V33" i="23"/>
  <c r="T33" i="23"/>
  <c r="R33" i="23"/>
  <c r="Q33" i="23"/>
  <c r="P33" i="23"/>
  <c r="O33" i="23"/>
  <c r="B39" i="23" s="1"/>
  <c r="M33" i="23"/>
  <c r="L33" i="23"/>
  <c r="G33" i="23"/>
  <c r="AQ32" i="23"/>
  <c r="AC32" i="23"/>
  <c r="V32" i="23"/>
  <c r="O32" i="23"/>
  <c r="I32" i="23"/>
  <c r="D32" i="23"/>
  <c r="AQ5" i="23"/>
  <c r="AJ5" i="23"/>
  <c r="AC5" i="23"/>
  <c r="V5" i="23"/>
  <c r="O5" i="23"/>
  <c r="I5" i="23"/>
  <c r="D5" i="23"/>
  <c r="D2" i="23"/>
  <c r="K41" i="23" l="1"/>
  <c r="K40" i="23"/>
  <c r="K39" i="23"/>
  <c r="K46" i="3"/>
  <c r="L35" i="3"/>
  <c r="K35" i="3"/>
  <c r="J35" i="3"/>
  <c r="I35" i="3"/>
  <c r="H35" i="3"/>
  <c r="G35" i="3"/>
  <c r="F35" i="3"/>
  <c r="E35" i="3"/>
  <c r="D35" i="3"/>
  <c r="BT34" i="3"/>
  <c r="BS34" i="3"/>
  <c r="BR34" i="3"/>
  <c r="BQ34" i="3"/>
  <c r="BP34" i="3"/>
  <c r="BO34" i="3"/>
  <c r="BN34" i="3"/>
  <c r="BM34" i="3"/>
  <c r="BL34" i="3"/>
  <c r="BJ34" i="3"/>
  <c r="BI34" i="3"/>
  <c r="BH34" i="3"/>
  <c r="BG34" i="3"/>
  <c r="BF34" i="3"/>
  <c r="BE34" i="3"/>
  <c r="BD34" i="3"/>
  <c r="BC34" i="3"/>
  <c r="BB34" i="3"/>
  <c r="AZ34" i="3"/>
  <c r="AY34" i="3"/>
  <c r="AX34" i="3"/>
  <c r="AW34" i="3"/>
  <c r="AV34" i="3"/>
  <c r="AU34" i="3"/>
  <c r="AT34" i="3"/>
  <c r="AS34" i="3"/>
  <c r="AR34" i="3"/>
  <c r="AP34" i="3"/>
  <c r="AO34" i="3"/>
  <c r="AN34" i="3"/>
  <c r="AM34" i="3"/>
  <c r="AL34" i="3"/>
  <c r="AK34" i="3"/>
  <c r="AJ34" i="3"/>
  <c r="AI34" i="3"/>
  <c r="AH34" i="3"/>
  <c r="AF34" i="3"/>
  <c r="AE34" i="3"/>
  <c r="AD34" i="3"/>
  <c r="AC34" i="3"/>
  <c r="AB34" i="3"/>
  <c r="AA34" i="3"/>
  <c r="Z34" i="3"/>
  <c r="Y34" i="3"/>
  <c r="X34" i="3"/>
  <c r="V34" i="3"/>
  <c r="U34" i="3"/>
  <c r="T34" i="3"/>
  <c r="S34" i="3"/>
  <c r="R34" i="3"/>
  <c r="Q34" i="3"/>
  <c r="P34" i="3"/>
  <c r="O34" i="3"/>
  <c r="N34" i="3"/>
  <c r="L34" i="3"/>
  <c r="K34" i="3"/>
  <c r="J34" i="3"/>
  <c r="I34" i="3"/>
  <c r="K44" i="3" s="1"/>
  <c r="H34" i="3"/>
  <c r="G34" i="3"/>
  <c r="F34" i="3"/>
  <c r="E34" i="3"/>
  <c r="D34" i="3"/>
  <c r="K39" i="3" s="1"/>
  <c r="BT33" i="3"/>
  <c r="BS33" i="3"/>
  <c r="BR33" i="3"/>
  <c r="BQ33" i="3"/>
  <c r="BP33" i="3"/>
  <c r="BO33" i="3"/>
  <c r="BN33" i="3"/>
  <c r="BM33" i="3"/>
  <c r="BL33" i="3"/>
  <c r="BJ33" i="3"/>
  <c r="BI33" i="3"/>
  <c r="BH33" i="3"/>
  <c r="BG33" i="3"/>
  <c r="BF33" i="3"/>
  <c r="BE33" i="3"/>
  <c r="BD33" i="3"/>
  <c r="BC33" i="3"/>
  <c r="BB33" i="3"/>
  <c r="AZ33" i="3"/>
  <c r="AY33" i="3"/>
  <c r="AX33" i="3"/>
  <c r="AW33" i="3"/>
  <c r="AV33" i="3"/>
  <c r="AU33" i="3"/>
  <c r="AT33" i="3"/>
  <c r="AS33" i="3"/>
  <c r="AR33" i="3"/>
  <c r="AP33" i="3"/>
  <c r="AO33" i="3"/>
  <c r="AN33" i="3"/>
  <c r="AM33" i="3"/>
  <c r="AL33" i="3"/>
  <c r="AK33" i="3"/>
  <c r="AJ33" i="3"/>
  <c r="AI33" i="3"/>
  <c r="AH33" i="3"/>
  <c r="AF33" i="3"/>
  <c r="AE33" i="3"/>
  <c r="AD33" i="3"/>
  <c r="AC33" i="3"/>
  <c r="AB33" i="3"/>
  <c r="AA33" i="3"/>
  <c r="Z33" i="3"/>
  <c r="Y33" i="3"/>
  <c r="X33" i="3"/>
  <c r="V33" i="3"/>
  <c r="U33" i="3"/>
  <c r="T33" i="3"/>
  <c r="S33" i="3"/>
  <c r="R33" i="3"/>
  <c r="Q33" i="3"/>
  <c r="P33" i="3"/>
  <c r="O33" i="3"/>
  <c r="N33" i="3"/>
  <c r="L33" i="3"/>
  <c r="K33" i="3"/>
  <c r="J33" i="3"/>
  <c r="I33" i="3"/>
  <c r="H33" i="3"/>
  <c r="G33" i="3"/>
  <c r="F33" i="3"/>
  <c r="E33" i="3"/>
  <c r="D33" i="3"/>
  <c r="BL32" i="3"/>
  <c r="BB32" i="3"/>
  <c r="AR32" i="3"/>
  <c r="AH32" i="3"/>
  <c r="X32" i="3"/>
  <c r="N32" i="3"/>
  <c r="D32" i="3"/>
  <c r="BL5" i="3"/>
  <c r="BB5" i="3"/>
  <c r="AR5" i="3"/>
  <c r="AH5" i="3"/>
  <c r="X5" i="3"/>
  <c r="N5" i="3"/>
  <c r="D5" i="3"/>
  <c r="D2" i="3"/>
  <c r="K40" i="3" l="1"/>
  <c r="K41" i="3"/>
  <c r="K42" i="3"/>
  <c r="K43" i="3"/>
  <c r="K4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<sst xmlns="http://schemas.openxmlformats.org/spreadsheetml/2006/main" count="127" uniqueCount="30">
  <si>
    <t>M &amp; B Vertical S.A.C.</t>
  </si>
  <si>
    <t>HORARIO DE TRABAJO</t>
  </si>
  <si>
    <t xml:space="preserve">                                     </t>
  </si>
  <si>
    <t>NOMBRE</t>
  </si>
  <si>
    <t>DESCANSO</t>
  </si>
  <si>
    <t>MIERCOLES</t>
  </si>
  <si>
    <t>LUNES</t>
  </si>
  <si>
    <t>MARTES</t>
  </si>
  <si>
    <t>JUEVES</t>
  </si>
  <si>
    <t>Horas</t>
  </si>
  <si>
    <t>Horario (sistema)</t>
  </si>
  <si>
    <t>Colocar Fecha Inicio Semana</t>
  </si>
  <si>
    <t>HRS</t>
  </si>
  <si>
    <t>ELIANA</t>
  </si>
  <si>
    <t>TAMARA</t>
  </si>
  <si>
    <t>MARYURIE</t>
  </si>
  <si>
    <t>REYNA</t>
  </si>
  <si>
    <t>DIANA</t>
  </si>
  <si>
    <t>ELIANA MILAGROS GUTIERREZ TRUJILLO</t>
  </si>
  <si>
    <t>TAMARA JULISSA CALDERON DELACRUZ</t>
  </si>
  <si>
    <t>MARYURIE BRIGITTE CUBAS GONZALES</t>
  </si>
  <si>
    <t>REYNA ESTEFANY GONZALEZ CRUZADO</t>
  </si>
  <si>
    <t>DIANA MARIZETH VILCHEZ SEGURA</t>
  </si>
  <si>
    <t>DEPOSITO</t>
  </si>
  <si>
    <t>FT</t>
  </si>
  <si>
    <t>DANNA</t>
  </si>
  <si>
    <t>CLAUDIA</t>
  </si>
  <si>
    <t>MARIA</t>
  </si>
  <si>
    <t>FAVIA</t>
  </si>
  <si>
    <t>sabado 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</si>
</sst>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280A]General"/>
    <numFmt numFmtId="165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8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7"/>
      <name val="Calibri"/>
      <family val="2"/>
      <scheme val="minor"/>
    </font>
    <font>
      <sz val="7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Aptos"/>
      <family val="2"/>
    </font>
    <font>
      <sz val="11"/>
      <color theme="1"/>
      <name val="Aptos"/>
      <family val="2"/>
    </font>
    <font>
      <b/>
      <sz val="8"/>
      <name val="Aptos"/>
      <family val="2"/>
    </font>
    <font>
      <b/>
      <sz val="8"/>
      <color theme="1"/>
      <name val="Aptos"/>
      <family val="2"/>
    </font>
    <font>
      <b/>
      <sz val="11"/>
      <color theme="1"/>
      <name val="Aptos"/>
      <family val="2"/>
    </font>
    <font>
      <b/>
      <sz val="12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Arial Black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90E2F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1233E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EFF8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B75AFC"/>
        <bgColor indexed="64"/>
      </patternFill>
    </fill>
    <fill>
      <patternFill patternType="solid">
        <fgColor rgb="FF8459F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4" fillId="0" borderId="0" applyBorder="0" applyProtection="0"/>
  </cellStyleXfs>
  <cellXfs count="218">
    <xf numFmtId="0" fontId="0" fillId="0" borderId="0" xfId="0"/>
    <xf numFmtId="20" fontId="2" fillId="3" borderId="1" xfId="0" applyNumberFormat="1" applyFont="1" applyFill="1" applyBorder="1"/>
    <xf numFmtId="0" fontId="3" fillId="0" borderId="0" xfId="0" applyFont="1" applyProtection="1">
      <protection locked="0"/>
    </xf>
    <xf numFmtId="164" fontId="4" fillId="0" borderId="0" xfId="1" applyProtection="1">
      <protection locked="0"/>
    </xf>
    <xf numFmtId="164" fontId="4" fillId="0" borderId="0" xfId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164" fontId="5" fillId="0" borderId="0" xfId="1" applyFont="1" applyProtection="1">
      <protection locked="0"/>
    </xf>
    <xf numFmtId="164" fontId="9" fillId="11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13" fillId="4" borderId="1" xfId="0" applyNumberFormat="1" applyFont="1" applyFill="1" applyBorder="1" applyAlignment="1" applyProtection="1">
      <alignment horizontal="center" vertical="center"/>
      <protection locked="0"/>
    </xf>
    <xf numFmtId="164" fontId="13" fillId="7" borderId="1" xfId="0" applyNumberFormat="1" applyFont="1" applyFill="1" applyBorder="1" applyAlignment="1" applyProtection="1">
      <alignment horizontal="center" vertical="center"/>
      <protection locked="0"/>
    </xf>
    <xf numFmtId="164" fontId="13" fillId="8" borderId="1" xfId="0" applyNumberFormat="1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4" fontId="13" fillId="12" borderId="1" xfId="0" applyNumberFormat="1" applyFont="1" applyFill="1" applyBorder="1" applyAlignment="1" applyProtection="1">
      <alignment horizontal="center" vertical="center"/>
      <protection locked="0"/>
    </xf>
    <xf numFmtId="164" fontId="13" fillId="9" borderId="1" xfId="0" applyNumberFormat="1" applyFont="1" applyFill="1" applyBorder="1" applyAlignment="1" applyProtection="1">
      <alignment horizontal="center" vertical="center"/>
      <protection locked="0"/>
    </xf>
    <xf numFmtId="164" fontId="13" fillId="10" borderId="1" xfId="0" applyNumberFormat="1" applyFont="1" applyFill="1" applyBorder="1" applyAlignment="1" applyProtection="1">
      <alignment horizontal="center" vertical="center"/>
      <protection locked="0"/>
    </xf>
    <xf numFmtId="164" fontId="13" fillId="11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7" fillId="2" borderId="0" xfId="0" applyFont="1" applyFill="1" applyProtection="1">
      <protection locked="0"/>
    </xf>
    <xf numFmtId="0" fontId="7" fillId="2" borderId="5" xfId="0" applyFont="1" applyFill="1" applyBorder="1" applyProtection="1">
      <protection locked="0"/>
    </xf>
    <xf numFmtId="164" fontId="4" fillId="0" borderId="0" xfId="1" applyProtection="1"/>
    <xf numFmtId="164" fontId="9" fillId="8" borderId="1" xfId="0" applyNumberFormat="1" applyFont="1" applyFill="1" applyBorder="1" applyAlignment="1">
      <alignment horizontal="center" vertical="center" textRotation="90" wrapText="1"/>
    </xf>
    <xf numFmtId="164" fontId="9" fillId="5" borderId="1" xfId="0" applyNumberFormat="1" applyFont="1" applyFill="1" applyBorder="1" applyAlignment="1">
      <alignment horizontal="center" vertical="center" textRotation="90" wrapText="1"/>
    </xf>
    <xf numFmtId="164" fontId="9" fillId="9" borderId="1" xfId="0" applyNumberFormat="1" applyFont="1" applyFill="1" applyBorder="1" applyAlignment="1">
      <alignment horizontal="center" vertical="center" textRotation="90" wrapText="1"/>
    </xf>
    <xf numFmtId="164" fontId="9" fillId="11" borderId="1" xfId="0" applyNumberFormat="1" applyFont="1" applyFill="1" applyBorder="1" applyAlignment="1">
      <alignment horizontal="center" vertical="center" textRotation="90" wrapText="1"/>
    </xf>
    <xf numFmtId="164" fontId="10" fillId="0" borderId="0" xfId="1" applyFont="1" applyProtection="1"/>
    <xf numFmtId="0" fontId="11" fillId="0" borderId="0" xfId="0" applyFont="1"/>
    <xf numFmtId="0" fontId="0" fillId="0" borderId="0" xfId="0" applyAlignment="1" applyProtection="1">
      <alignment wrapText="1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11" fillId="0" borderId="0" xfId="0" applyFont="1" applyAlignment="1">
      <alignment wrapText="1"/>
    </xf>
    <xf numFmtId="20" fontId="2" fillId="14" borderId="1" xfId="0" applyNumberFormat="1" applyFont="1" applyFill="1" applyBorder="1"/>
    <xf numFmtId="0" fontId="15" fillId="0" borderId="0" xfId="0" applyFont="1"/>
    <xf numFmtId="165" fontId="16" fillId="0" borderId="0" xfId="1" applyNumberFormat="1" applyFont="1" applyProtection="1"/>
    <xf numFmtId="165" fontId="17" fillId="0" borderId="0" xfId="0" applyNumberFormat="1" applyFont="1"/>
    <xf numFmtId="165" fontId="9" fillId="8" borderId="1" xfId="0" applyNumberFormat="1" applyFont="1" applyFill="1" applyBorder="1" applyAlignment="1">
      <alignment horizontal="center" vertical="center"/>
    </xf>
    <xf numFmtId="165" fontId="9" fillId="5" borderId="1" xfId="0" applyNumberFormat="1" applyFont="1" applyFill="1" applyBorder="1" applyAlignment="1">
      <alignment horizontal="center" vertical="center"/>
    </xf>
    <xf numFmtId="165" fontId="9" fillId="9" borderId="1" xfId="0" applyNumberFormat="1" applyFont="1" applyFill="1" applyBorder="1" applyAlignment="1">
      <alignment horizontal="center" vertical="center"/>
    </xf>
    <xf numFmtId="165" fontId="9" fillId="11" borderId="1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Continuous" vertical="center"/>
    </xf>
    <xf numFmtId="164" fontId="6" fillId="2" borderId="0" xfId="0" applyNumberFormat="1" applyFont="1" applyFill="1" applyAlignment="1">
      <alignment horizontal="centerContinuous" vertical="center"/>
    </xf>
    <xf numFmtId="164" fontId="18" fillId="8" borderId="1" xfId="0" applyNumberFormat="1" applyFont="1" applyFill="1" applyBorder="1" applyAlignment="1" applyProtection="1">
      <alignment horizontal="center" vertical="center"/>
      <protection locked="0"/>
    </xf>
    <xf numFmtId="164" fontId="18" fillId="5" borderId="1" xfId="0" applyNumberFormat="1" applyFont="1" applyFill="1" applyBorder="1" applyAlignment="1" applyProtection="1">
      <alignment horizontal="center" vertical="center"/>
      <protection locked="0"/>
    </xf>
    <xf numFmtId="164" fontId="18" fillId="9" borderId="1" xfId="0" applyNumberFormat="1" applyFont="1" applyFill="1" applyBorder="1" applyAlignment="1" applyProtection="1">
      <alignment horizontal="center" vertical="center"/>
      <protection locked="0"/>
    </xf>
    <xf numFmtId="164" fontId="18" fillId="11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Protection="1">
      <protection locked="0"/>
    </xf>
    <xf numFmtId="0" fontId="19" fillId="6" borderId="0" xfId="0" applyFont="1" applyFill="1" applyProtection="1">
      <protection locked="0"/>
    </xf>
    <xf numFmtId="0" fontId="20" fillId="13" borderId="1" xfId="0" applyFont="1" applyFill="1" applyBorder="1" applyAlignment="1">
      <alignment horizontal="center" vertical="center" wrapText="1"/>
    </xf>
    <xf numFmtId="0" fontId="2" fillId="0" borderId="0" xfId="0" applyFont="1" applyAlignment="1" applyProtection="1">
      <alignment vertical="center"/>
      <protection locked="0"/>
    </xf>
    <xf numFmtId="20" fontId="2" fillId="19" borderId="1" xfId="0" applyNumberFormat="1" applyFont="1" applyFill="1" applyBorder="1"/>
    <xf numFmtId="165" fontId="9" fillId="16" borderId="1" xfId="0" applyNumberFormat="1" applyFont="1" applyFill="1" applyBorder="1" applyAlignment="1">
      <alignment horizontal="center" vertical="center"/>
    </xf>
    <xf numFmtId="165" fontId="9" fillId="17" borderId="1" xfId="0" applyNumberFormat="1" applyFont="1" applyFill="1" applyBorder="1" applyAlignment="1">
      <alignment horizontal="center" vertical="center"/>
    </xf>
    <xf numFmtId="165" fontId="9" fillId="18" borderId="1" xfId="0" applyNumberFormat="1" applyFont="1" applyFill="1" applyBorder="1" applyAlignment="1">
      <alignment horizontal="center" vertical="center"/>
    </xf>
    <xf numFmtId="165" fontId="9" fillId="14" borderId="1" xfId="0" applyNumberFormat="1" applyFont="1" applyFill="1" applyBorder="1" applyAlignment="1">
      <alignment horizontal="center" vertical="center"/>
    </xf>
    <xf numFmtId="164" fontId="9" fillId="17" borderId="1" xfId="0" applyNumberFormat="1" applyFont="1" applyFill="1" applyBorder="1" applyAlignment="1">
      <alignment horizontal="center" vertical="center" textRotation="90" wrapText="1"/>
    </xf>
    <xf numFmtId="164" fontId="9" fillId="18" borderId="1" xfId="0" applyNumberFormat="1" applyFont="1" applyFill="1" applyBorder="1" applyAlignment="1">
      <alignment horizontal="center" vertical="center" textRotation="90" wrapText="1"/>
    </xf>
    <xf numFmtId="164" fontId="9" fillId="14" borderId="1" xfId="0" applyNumberFormat="1" applyFont="1" applyFill="1" applyBorder="1" applyAlignment="1">
      <alignment horizontal="center" vertical="center" textRotation="90" wrapText="1"/>
    </xf>
    <xf numFmtId="164" fontId="21" fillId="9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21" fillId="5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21" fillId="17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21" fillId="15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21" fillId="8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21" fillId="14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21" fillId="11" borderId="1" xfId="0" applyNumberFormat="1" applyFont="1" applyFill="1" applyBorder="1" applyAlignment="1" applyProtection="1">
      <alignment horizontal="center" vertical="center" textRotation="90" wrapText="1"/>
      <protection locked="0"/>
    </xf>
    <xf numFmtId="0" fontId="22" fillId="0" borderId="0" xfId="0" applyFont="1" applyProtection="1">
      <protection locked="0"/>
    </xf>
    <xf numFmtId="164" fontId="21" fillId="16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18" fillId="16" borderId="1" xfId="0" applyNumberFormat="1" applyFont="1" applyFill="1" applyBorder="1" applyAlignment="1" applyProtection="1">
      <alignment horizontal="center" vertical="center"/>
      <protection locked="0"/>
    </xf>
    <xf numFmtId="164" fontId="18" fillId="17" borderId="1" xfId="0" applyNumberFormat="1" applyFont="1" applyFill="1" applyBorder="1" applyAlignment="1" applyProtection="1">
      <alignment horizontal="center" vertical="center"/>
      <protection locked="0"/>
    </xf>
    <xf numFmtId="164" fontId="13" fillId="17" borderId="1" xfId="0" applyNumberFormat="1" applyFont="1" applyFill="1" applyBorder="1" applyAlignment="1" applyProtection="1">
      <alignment horizontal="center" vertical="center"/>
      <protection locked="0"/>
    </xf>
    <xf numFmtId="164" fontId="18" fillId="18" borderId="1" xfId="0" applyNumberFormat="1" applyFont="1" applyFill="1" applyBorder="1" applyAlignment="1" applyProtection="1">
      <alignment horizontal="center" vertical="center"/>
      <protection locked="0"/>
    </xf>
    <xf numFmtId="164" fontId="18" fillId="14" borderId="1" xfId="0" applyNumberFormat="1" applyFont="1" applyFill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Continuous" vertical="center"/>
      <protection locked="0"/>
    </xf>
    <xf numFmtId="165" fontId="23" fillId="7" borderId="1" xfId="0" applyNumberFormat="1" applyFont="1" applyFill="1" applyBorder="1" applyAlignment="1">
      <alignment horizontal="center" vertical="center"/>
    </xf>
    <xf numFmtId="165" fontId="23" fillId="9" borderId="1" xfId="0" applyNumberFormat="1" applyFont="1" applyFill="1" applyBorder="1" applyAlignment="1">
      <alignment horizontal="center" vertical="center"/>
    </xf>
    <xf numFmtId="165" fontId="23" fillId="5" borderId="1" xfId="0" applyNumberFormat="1" applyFont="1" applyFill="1" applyBorder="1" applyAlignment="1">
      <alignment horizontal="center" vertical="center"/>
    </xf>
    <xf numFmtId="165" fontId="23" fillId="17" borderId="1" xfId="0" applyNumberFormat="1" applyFont="1" applyFill="1" applyBorder="1" applyAlignment="1">
      <alignment horizontal="center" vertical="center"/>
    </xf>
    <xf numFmtId="165" fontId="23" fillId="18" borderId="1" xfId="0" applyNumberFormat="1" applyFont="1" applyFill="1" applyBorder="1" applyAlignment="1">
      <alignment horizontal="center" vertical="center"/>
    </xf>
    <xf numFmtId="165" fontId="23" fillId="8" borderId="1" xfId="0" applyNumberFormat="1" applyFont="1" applyFill="1" applyBorder="1" applyAlignment="1">
      <alignment horizontal="center" vertical="center"/>
    </xf>
    <xf numFmtId="165" fontId="23" fillId="14" borderId="1" xfId="0" applyNumberFormat="1" applyFont="1" applyFill="1" applyBorder="1" applyAlignment="1">
      <alignment horizontal="center" vertical="center"/>
    </xf>
    <xf numFmtId="164" fontId="9" fillId="16" borderId="1" xfId="0" applyNumberFormat="1" applyFont="1" applyFill="1" applyBorder="1" applyAlignment="1">
      <alignment horizontal="center" vertical="center" textRotation="90" wrapText="1"/>
    </xf>
    <xf numFmtId="0" fontId="12" fillId="2" borderId="1" xfId="0" applyFont="1" applyFill="1" applyBorder="1" applyAlignment="1" applyProtection="1">
      <alignment horizontal="center" vertical="center"/>
      <protection locked="0"/>
    </xf>
    <xf numFmtId="164" fontId="13" fillId="16" borderId="1" xfId="0" applyNumberFormat="1" applyFont="1" applyFill="1" applyBorder="1" applyAlignment="1" applyProtection="1">
      <alignment horizontal="center" vertical="center"/>
      <protection locked="0"/>
    </xf>
    <xf numFmtId="164" fontId="13" fillId="18" borderId="1" xfId="0" applyNumberFormat="1" applyFont="1" applyFill="1" applyBorder="1" applyAlignment="1" applyProtection="1">
      <alignment horizontal="center" vertical="center"/>
      <protection locked="0"/>
    </xf>
    <xf numFmtId="164" fontId="13" fillId="14" borderId="1" xfId="0" applyNumberFormat="1" applyFont="1" applyFill="1" applyBorder="1" applyAlignment="1" applyProtection="1">
      <alignment horizontal="center" vertical="center"/>
      <protection locked="0"/>
    </xf>
    <xf numFmtId="164" fontId="13" fillId="20" borderId="1" xfId="0" applyNumberFormat="1" applyFont="1" applyFill="1" applyBorder="1" applyAlignment="1" applyProtection="1">
      <alignment horizontal="center" vertical="center"/>
      <protection locked="0"/>
    </xf>
    <xf numFmtId="165" fontId="26" fillId="2" borderId="1" xfId="0" applyNumberFormat="1" applyFont="1" applyFill="1" applyBorder="1"/>
    <xf numFmtId="0" fontId="1" fillId="2" borderId="9" xfId="0" applyFont="1" applyFill="1" applyBorder="1" applyProtection="1">
      <protection locked="0"/>
    </xf>
    <xf numFmtId="0" fontId="1" fillId="2" borderId="6" xfId="0" applyFont="1" applyFill="1" applyBorder="1" applyProtection="1">
      <protection locked="0"/>
    </xf>
    <xf numFmtId="164" fontId="18" fillId="21" borderId="1" xfId="0" applyNumberFormat="1" applyFont="1" applyFill="1" applyBorder="1" applyAlignment="1" applyProtection="1">
      <alignment horizontal="center" vertical="center"/>
      <protection locked="0"/>
    </xf>
    <xf numFmtId="164" fontId="18" fillId="12" borderId="1" xfId="0" applyNumberFormat="1" applyFont="1" applyFill="1" applyBorder="1" applyAlignment="1" applyProtection="1">
      <alignment horizontal="center" vertical="center"/>
      <protection locked="0"/>
    </xf>
    <xf numFmtId="164" fontId="28" fillId="18" borderId="1" xfId="0" applyNumberFormat="1" applyFont="1" applyFill="1" applyBorder="1" applyAlignment="1">
      <alignment horizontal="center" vertical="center" textRotation="90" wrapText="1"/>
    </xf>
    <xf numFmtId="164" fontId="28" fillId="0" borderId="1" xfId="0" applyNumberFormat="1" applyFont="1" applyBorder="1" applyAlignment="1">
      <alignment horizontal="center" vertical="center" textRotation="90" wrapText="1"/>
    </xf>
    <xf numFmtId="0" fontId="0" fillId="6" borderId="0" xfId="0" applyFill="1" applyAlignment="1" applyProtection="1">
      <alignment horizontal="center" vertical="center"/>
      <protection locked="0"/>
    </xf>
    <xf numFmtId="164" fontId="29" fillId="22" borderId="1" xfId="0" applyNumberFormat="1" applyFont="1" applyFill="1" applyBorder="1" applyAlignment="1" applyProtection="1">
      <alignment horizontal="center" vertical="center" textRotation="90" wrapText="1"/>
      <protection locked="0"/>
    </xf>
    <xf numFmtId="165" fontId="28" fillId="24" borderId="1" xfId="0" applyNumberFormat="1" applyFont="1" applyFill="1" applyBorder="1" applyAlignment="1">
      <alignment horizontal="center" vertical="center"/>
    </xf>
    <xf numFmtId="0" fontId="32" fillId="26" borderId="5" xfId="0" applyFont="1" applyFill="1" applyBorder="1" applyAlignment="1" applyProtection="1">
      <alignment horizontal="center"/>
      <protection locked="0"/>
    </xf>
    <xf numFmtId="0" fontId="32" fillId="26" borderId="1" xfId="0" applyFont="1" applyFill="1" applyBorder="1" applyAlignment="1" applyProtection="1">
      <alignment horizontal="center" vertical="center"/>
      <protection locked="0"/>
    </xf>
    <xf numFmtId="165" fontId="31" fillId="26" borderId="1" xfId="0" applyNumberFormat="1" applyFont="1" applyFill="1" applyBorder="1" applyAlignment="1">
      <alignment horizontal="center"/>
    </xf>
    <xf numFmtId="164" fontId="29" fillId="14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28" fillId="14" borderId="1" xfId="0" applyNumberFormat="1" applyFont="1" applyFill="1" applyBorder="1" applyAlignment="1">
      <alignment horizontal="center" vertical="center" textRotation="90" wrapText="1"/>
    </xf>
    <xf numFmtId="165" fontId="28" fillId="14" borderId="1" xfId="0" applyNumberFormat="1" applyFont="1" applyFill="1" applyBorder="1" applyAlignment="1">
      <alignment horizontal="center" vertical="center"/>
    </xf>
    <xf numFmtId="164" fontId="28" fillId="11" borderId="1" xfId="0" applyNumberFormat="1" applyFont="1" applyFill="1" applyBorder="1" applyAlignment="1">
      <alignment horizontal="center" vertical="center" textRotation="90" wrapText="1"/>
    </xf>
    <xf numFmtId="165" fontId="28" fillId="11" borderId="1" xfId="0" applyNumberFormat="1" applyFont="1" applyFill="1" applyBorder="1" applyAlignment="1">
      <alignment horizontal="center" vertical="center"/>
    </xf>
    <xf numFmtId="164" fontId="29" fillId="25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13" fillId="25" borderId="1" xfId="0" applyNumberFormat="1" applyFont="1" applyFill="1" applyBorder="1" applyAlignment="1" applyProtection="1">
      <alignment horizontal="center" vertical="center"/>
      <protection locked="0"/>
    </xf>
    <xf numFmtId="164" fontId="18" fillId="25" borderId="1" xfId="0" applyNumberFormat="1" applyFont="1" applyFill="1" applyBorder="1" applyAlignment="1" applyProtection="1">
      <alignment horizontal="center" vertical="center"/>
      <protection locked="0"/>
    </xf>
    <xf numFmtId="165" fontId="28" fillId="25" borderId="1" xfId="0" applyNumberFormat="1" applyFont="1" applyFill="1" applyBorder="1" applyAlignment="1">
      <alignment horizontal="center" vertical="center"/>
    </xf>
    <xf numFmtId="0" fontId="2" fillId="26" borderId="6" xfId="0" applyFont="1" applyFill="1" applyBorder="1" applyAlignment="1"/>
    <xf numFmtId="0" fontId="33" fillId="0" borderId="3" xfId="0" applyFont="1" applyBorder="1" applyAlignment="1"/>
    <xf numFmtId="0" fontId="2" fillId="26" borderId="10" xfId="0" applyFont="1" applyFill="1" applyBorder="1" applyAlignment="1"/>
    <xf numFmtId="165" fontId="33" fillId="0" borderId="11" xfId="0" applyNumberFormat="1" applyFont="1" applyBorder="1" applyAlignment="1"/>
    <xf numFmtId="164" fontId="20" fillId="27" borderId="1" xfId="0" applyNumberFormat="1" applyFont="1" applyFill="1" applyBorder="1" applyAlignment="1" applyProtection="1">
      <alignment horizontal="center" vertical="center"/>
      <protection locked="0"/>
    </xf>
    <xf numFmtId="164" fontId="12" fillId="8" borderId="1" xfId="0" applyNumberFormat="1" applyFont="1" applyFill="1" applyBorder="1" applyAlignment="1">
      <alignment horizontal="center" vertical="center" wrapText="1"/>
    </xf>
    <xf numFmtId="164" fontId="12" fillId="8" borderId="7" xfId="0" applyNumberFormat="1" applyFont="1" applyFill="1" applyBorder="1" applyAlignment="1">
      <alignment horizontal="center" vertical="center" wrapText="1"/>
    </xf>
    <xf numFmtId="164" fontId="12" fillId="8" borderId="8" xfId="0" applyNumberFormat="1" applyFont="1" applyFill="1" applyBorder="1" applyAlignment="1">
      <alignment horizontal="center" vertical="center" wrapText="1"/>
    </xf>
    <xf numFmtId="164" fontId="12" fillId="7" borderId="1" xfId="0" applyNumberFormat="1" applyFont="1" applyFill="1" applyBorder="1" applyAlignment="1">
      <alignment horizontal="center" vertical="center" wrapText="1"/>
    </xf>
    <xf numFmtId="0" fontId="3" fillId="26" borderId="6" xfId="0" applyFont="1" applyFill="1" applyBorder="1" applyAlignment="1">
      <alignment horizontal="centerContinuous" vertical="center"/>
    </xf>
    <xf numFmtId="0" fontId="35" fillId="2" borderId="6" xfId="0" applyFont="1" applyFill="1" applyBorder="1" applyAlignment="1">
      <alignment horizontal="centerContinuous" vertical="center"/>
    </xf>
    <xf numFmtId="0" fontId="36" fillId="0" borderId="0" xfId="0" applyFont="1"/>
    <xf numFmtId="164" fontId="29" fillId="12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29" fillId="28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13" fillId="28" borderId="1" xfId="0" applyNumberFormat="1" applyFont="1" applyFill="1" applyBorder="1" applyAlignment="1" applyProtection="1">
      <alignment horizontal="center" vertical="center"/>
      <protection locked="0"/>
    </xf>
    <xf numFmtId="164" fontId="18" fillId="28" borderId="1" xfId="0" applyNumberFormat="1" applyFont="1" applyFill="1" applyBorder="1" applyAlignment="1" applyProtection="1">
      <alignment horizontal="center" vertical="center"/>
      <protection locked="0"/>
    </xf>
    <xf numFmtId="0" fontId="0" fillId="25" borderId="0" xfId="0" applyFill="1" applyProtection="1">
      <protection locked="0"/>
    </xf>
    <xf numFmtId="0" fontId="3" fillId="15" borderId="6" xfId="0" applyFont="1" applyFill="1" applyBorder="1" applyAlignment="1">
      <alignment horizontal="centerContinuous" vertical="center"/>
    </xf>
    <xf numFmtId="164" fontId="28" fillId="28" borderId="1" xfId="0" applyNumberFormat="1" applyFont="1" applyFill="1" applyBorder="1" applyAlignment="1">
      <alignment horizontal="center" vertical="center" textRotation="90" wrapText="1"/>
    </xf>
    <xf numFmtId="165" fontId="28" fillId="28" borderId="1" xfId="0" applyNumberFormat="1" applyFont="1" applyFill="1" applyBorder="1" applyAlignment="1">
      <alignment horizontal="center" vertical="center"/>
    </xf>
    <xf numFmtId="164" fontId="28" fillId="12" borderId="1" xfId="0" applyNumberFormat="1" applyFont="1" applyFill="1" applyBorder="1" applyAlignment="1">
      <alignment horizontal="center" vertical="center" textRotation="90" wrapText="1"/>
    </xf>
    <xf numFmtId="165" fontId="28" fillId="12" borderId="1" xfId="0" applyNumberFormat="1" applyFont="1" applyFill="1" applyBorder="1" applyAlignment="1">
      <alignment horizontal="center" vertical="center"/>
    </xf>
    <xf numFmtId="164" fontId="28" fillId="25" borderId="1" xfId="0" applyNumberFormat="1" applyFont="1" applyFill="1" applyBorder="1" applyAlignment="1">
      <alignment horizontal="center" vertical="center" textRotation="90" wrapText="1"/>
    </xf>
    <xf numFmtId="164" fontId="23" fillId="12" borderId="4" xfId="0" applyNumberFormat="1" applyFont="1" applyFill="1" applyBorder="1" applyAlignment="1" applyProtection="1">
      <alignment horizontal="center" vertical="center"/>
      <protection locked="0"/>
    </xf>
    <xf numFmtId="164" fontId="23" fillId="28" borderId="4" xfId="0" applyNumberFormat="1" applyFont="1" applyFill="1" applyBorder="1" applyAlignment="1" applyProtection="1">
      <alignment horizontal="center" vertical="center"/>
      <protection locked="0"/>
    </xf>
    <xf numFmtId="164" fontId="24" fillId="25" borderId="4" xfId="0" applyNumberFormat="1" applyFont="1" applyFill="1" applyBorder="1" applyAlignment="1" applyProtection="1">
      <alignment horizontal="center" vertical="center"/>
      <protection locked="0"/>
    </xf>
    <xf numFmtId="165" fontId="33" fillId="25" borderId="11" xfId="0" applyNumberFormat="1" applyFont="1" applyFill="1" applyBorder="1" applyAlignment="1"/>
    <xf numFmtId="164" fontId="24" fillId="14" borderId="4" xfId="0" applyNumberFormat="1" applyFont="1" applyFill="1" applyBorder="1" applyAlignment="1" applyProtection="1">
      <alignment horizontal="center" vertical="center"/>
      <protection locked="0"/>
    </xf>
    <xf numFmtId="165" fontId="33" fillId="14" borderId="11" xfId="0" applyNumberFormat="1" applyFont="1" applyFill="1" applyBorder="1" applyAlignment="1"/>
    <xf numFmtId="164" fontId="12" fillId="7" borderId="1" xfId="0" applyNumberFormat="1" applyFont="1" applyFill="1" applyBorder="1" applyAlignment="1">
      <alignment horizontal="center" vertical="center" wrapText="1"/>
    </xf>
    <xf numFmtId="164" fontId="12" fillId="8" borderId="1" xfId="0" applyNumberFormat="1" applyFont="1" applyFill="1" applyBorder="1" applyAlignment="1">
      <alignment horizontal="center" vertical="center" wrapText="1"/>
    </xf>
    <xf numFmtId="164" fontId="12" fillId="8" borderId="7" xfId="0" applyNumberFormat="1" applyFont="1" applyFill="1" applyBorder="1" applyAlignment="1">
      <alignment horizontal="center" vertical="center" wrapText="1"/>
    </xf>
    <xf numFmtId="164" fontId="12" fillId="8" borderId="8" xfId="0" applyNumberFormat="1" applyFont="1" applyFill="1" applyBorder="1" applyAlignment="1">
      <alignment horizontal="center" vertical="center" wrapText="1"/>
    </xf>
    <xf numFmtId="164" fontId="24" fillId="25" borderId="2" xfId="0" applyNumberFormat="1" applyFont="1" applyFill="1" applyBorder="1" applyAlignment="1" applyProtection="1">
      <alignment horizontal="center" vertical="center"/>
      <protection locked="0"/>
    </xf>
    <xf numFmtId="164" fontId="24" fillId="25" borderId="3" xfId="0" applyNumberFormat="1" applyFont="1" applyFill="1" applyBorder="1" applyAlignment="1" applyProtection="1">
      <alignment horizontal="center" vertical="center"/>
      <protection locked="0"/>
    </xf>
    <xf numFmtId="164" fontId="24" fillId="25" borderId="2" xfId="0" applyNumberFormat="1" applyFont="1" applyFill="1" applyBorder="1" applyAlignment="1" applyProtection="1">
      <alignment horizontal="center"/>
      <protection locked="0"/>
    </xf>
    <xf numFmtId="164" fontId="24" fillId="25" borderId="3" xfId="0" applyNumberFormat="1" applyFont="1" applyFill="1" applyBorder="1" applyAlignment="1" applyProtection="1">
      <alignment horizontal="center"/>
      <protection locked="0"/>
    </xf>
    <xf numFmtId="164" fontId="24" fillId="14" borderId="2" xfId="0" applyNumberFormat="1" applyFont="1" applyFill="1" applyBorder="1" applyAlignment="1" applyProtection="1">
      <alignment horizontal="center" vertical="center"/>
      <protection locked="0"/>
    </xf>
    <xf numFmtId="164" fontId="24" fillId="14" borderId="3" xfId="0" applyNumberFormat="1" applyFont="1" applyFill="1" applyBorder="1" applyAlignment="1" applyProtection="1">
      <alignment horizontal="center" vertical="center"/>
      <protection locked="0"/>
    </xf>
    <xf numFmtId="164" fontId="24" fillId="14" borderId="2" xfId="0" applyNumberFormat="1" applyFont="1" applyFill="1" applyBorder="1" applyAlignment="1" applyProtection="1">
      <alignment horizontal="center"/>
      <protection locked="0"/>
    </xf>
    <xf numFmtId="164" fontId="24" fillId="14" borderId="3" xfId="0" applyNumberFormat="1" applyFont="1" applyFill="1" applyBorder="1" applyAlignment="1" applyProtection="1">
      <alignment horizontal="center"/>
      <protection locked="0"/>
    </xf>
    <xf numFmtId="164" fontId="12" fillId="11" borderId="1" xfId="0" applyNumberFormat="1" applyFont="1" applyFill="1" applyBorder="1" applyAlignment="1">
      <alignment horizontal="center" vertical="center" wrapText="1"/>
    </xf>
    <xf numFmtId="0" fontId="2" fillId="26" borderId="9" xfId="0" applyFont="1" applyFill="1" applyBorder="1" applyAlignment="1" applyProtection="1">
      <alignment horizontal="center"/>
      <protection locked="0"/>
    </xf>
    <xf numFmtId="0" fontId="2" fillId="26" borderId="6" xfId="0" applyFont="1" applyFill="1" applyBorder="1" applyAlignment="1" applyProtection="1">
      <alignment horizontal="center"/>
      <protection locked="0"/>
    </xf>
    <xf numFmtId="0" fontId="2" fillId="26" borderId="2" xfId="0" applyFont="1" applyFill="1" applyBorder="1" applyAlignment="1" applyProtection="1">
      <alignment horizontal="center" vertical="center"/>
      <protection locked="0"/>
    </xf>
    <xf numFmtId="0" fontId="2" fillId="26" borderId="3" xfId="0" applyFont="1" applyFill="1" applyBorder="1" applyAlignment="1" applyProtection="1">
      <alignment horizontal="center" vertical="center"/>
      <protection locked="0"/>
    </xf>
    <xf numFmtId="164" fontId="23" fillId="12" borderId="2" xfId="0" applyNumberFormat="1" applyFont="1" applyFill="1" applyBorder="1" applyAlignment="1" applyProtection="1">
      <alignment horizontal="center" vertical="center"/>
      <protection locked="0"/>
    </xf>
    <xf numFmtId="164" fontId="23" fillId="12" borderId="3" xfId="0" applyNumberFormat="1" applyFont="1" applyFill="1" applyBorder="1" applyAlignment="1" applyProtection="1">
      <alignment horizontal="center" vertical="center"/>
      <protection locked="0"/>
    </xf>
    <xf numFmtId="164" fontId="24" fillId="12" borderId="2" xfId="0" applyNumberFormat="1" applyFont="1" applyFill="1" applyBorder="1" applyAlignment="1" applyProtection="1">
      <alignment horizontal="center"/>
      <protection locked="0"/>
    </xf>
    <xf numFmtId="164" fontId="24" fillId="12" borderId="3" xfId="0" applyNumberFormat="1" applyFont="1" applyFill="1" applyBorder="1" applyAlignment="1" applyProtection="1">
      <alignment horizontal="center"/>
      <protection locked="0"/>
    </xf>
    <xf numFmtId="164" fontId="12" fillId="8" borderId="1" xfId="0" applyNumberFormat="1" applyFont="1" applyFill="1" applyBorder="1" applyAlignment="1">
      <alignment horizontal="center" vertical="center" wrapText="1"/>
    </xf>
    <xf numFmtId="164" fontId="12" fillId="9" borderId="1" xfId="0" applyNumberFormat="1" applyFont="1" applyFill="1" applyBorder="1" applyAlignment="1">
      <alignment horizontal="center" vertical="center" wrapText="1"/>
    </xf>
    <xf numFmtId="164" fontId="12" fillId="4" borderId="1" xfId="0" applyNumberFormat="1" applyFont="1" applyFill="1" applyBorder="1" applyAlignment="1">
      <alignment horizontal="center" vertical="center" wrapText="1"/>
    </xf>
    <xf numFmtId="164" fontId="12" fillId="7" borderId="1" xfId="0" applyNumberFormat="1" applyFont="1" applyFill="1" applyBorder="1" applyAlignment="1">
      <alignment horizontal="center" vertical="center" wrapText="1"/>
    </xf>
    <xf numFmtId="164" fontId="23" fillId="28" borderId="2" xfId="0" applyNumberFormat="1" applyFont="1" applyFill="1" applyBorder="1" applyAlignment="1" applyProtection="1">
      <alignment horizontal="center" vertical="center"/>
      <protection locked="0"/>
    </xf>
    <xf numFmtId="164" fontId="23" fillId="28" borderId="3" xfId="0" applyNumberFormat="1" applyFont="1" applyFill="1" applyBorder="1" applyAlignment="1" applyProtection="1">
      <alignment horizontal="center" vertical="center"/>
      <protection locked="0"/>
    </xf>
    <xf numFmtId="164" fontId="24" fillId="28" borderId="2" xfId="0" applyNumberFormat="1" applyFont="1" applyFill="1" applyBorder="1" applyAlignment="1" applyProtection="1">
      <alignment horizontal="center"/>
      <protection locked="0"/>
    </xf>
    <xf numFmtId="164" fontId="24" fillId="28" borderId="3" xfId="0" applyNumberFormat="1" applyFon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left" vertical="center"/>
    </xf>
    <xf numFmtId="164" fontId="12" fillId="4" borderId="7" xfId="0" applyNumberFormat="1" applyFont="1" applyFill="1" applyBorder="1" applyAlignment="1">
      <alignment horizontal="center" vertical="center" wrapText="1"/>
    </xf>
    <xf numFmtId="164" fontId="12" fillId="4" borderId="8" xfId="0" applyNumberFormat="1" applyFont="1" applyFill="1" applyBorder="1" applyAlignment="1">
      <alignment horizontal="center" vertical="center" wrapText="1"/>
    </xf>
    <xf numFmtId="164" fontId="12" fillId="9" borderId="7" xfId="0" applyNumberFormat="1" applyFont="1" applyFill="1" applyBorder="1" applyAlignment="1">
      <alignment horizontal="center" vertical="center" wrapText="1"/>
    </xf>
    <xf numFmtId="164" fontId="12" fillId="9" borderId="8" xfId="0" applyNumberFormat="1" applyFont="1" applyFill="1" applyBorder="1" applyAlignment="1">
      <alignment horizontal="center" vertical="center" wrapText="1"/>
    </xf>
    <xf numFmtId="164" fontId="30" fillId="25" borderId="0" xfId="0" applyNumberFormat="1" applyFont="1" applyFill="1" applyAlignment="1">
      <alignment horizontal="center" vertical="center"/>
    </xf>
    <xf numFmtId="0" fontId="2" fillId="26" borderId="6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4" fillId="15" borderId="9" xfId="0" applyFont="1" applyFill="1" applyBorder="1" applyAlignment="1">
      <alignment horizontal="center" vertical="center"/>
    </xf>
    <xf numFmtId="0" fontId="34" fillId="15" borderId="6" xfId="0" applyFont="1" applyFill="1" applyBorder="1" applyAlignment="1">
      <alignment horizontal="center" vertical="center"/>
    </xf>
    <xf numFmtId="0" fontId="27" fillId="23" borderId="0" xfId="0" applyFont="1" applyFill="1" applyAlignment="1" applyProtection="1">
      <alignment horizontal="center" vertical="center"/>
      <protection locked="0"/>
    </xf>
    <xf numFmtId="164" fontId="12" fillId="11" borderId="7" xfId="0" applyNumberFormat="1" applyFont="1" applyFill="1" applyBorder="1" applyAlignment="1">
      <alignment horizontal="center" vertical="center" wrapText="1"/>
    </xf>
    <xf numFmtId="164" fontId="12" fillId="11" borderId="8" xfId="0" applyNumberFormat="1" applyFont="1" applyFill="1" applyBorder="1" applyAlignment="1">
      <alignment horizontal="center" vertical="center" wrapText="1"/>
    </xf>
    <xf numFmtId="164" fontId="23" fillId="14" borderId="2" xfId="0" applyNumberFormat="1" applyFont="1" applyFill="1" applyBorder="1" applyAlignment="1" applyProtection="1">
      <alignment horizontal="center" vertical="center"/>
      <protection locked="0"/>
    </xf>
    <xf numFmtId="164" fontId="23" fillId="14" borderId="3" xfId="0" applyNumberFormat="1" applyFont="1" applyFill="1" applyBorder="1" applyAlignment="1" applyProtection="1">
      <alignment horizontal="center" vertical="center"/>
      <protection locked="0"/>
    </xf>
    <xf numFmtId="164" fontId="23" fillId="14" borderId="4" xfId="0" applyNumberFormat="1" applyFont="1" applyFill="1" applyBorder="1" applyAlignment="1" applyProtection="1">
      <alignment horizontal="center" vertical="center"/>
      <protection locked="0"/>
    </xf>
    <xf numFmtId="164" fontId="22" fillId="0" borderId="2" xfId="0" applyNumberFormat="1" applyFont="1" applyBorder="1" applyAlignment="1" applyProtection="1">
      <alignment horizontal="center"/>
      <protection locked="0"/>
    </xf>
    <xf numFmtId="164" fontId="22" fillId="0" borderId="3" xfId="0" applyNumberFormat="1" applyFont="1" applyBorder="1" applyAlignment="1" applyProtection="1">
      <alignment horizontal="center"/>
      <protection locked="0"/>
    </xf>
    <xf numFmtId="164" fontId="22" fillId="0" borderId="4" xfId="0" applyNumberFormat="1" applyFont="1" applyBorder="1" applyAlignment="1" applyProtection="1">
      <alignment horizontal="center"/>
      <protection locked="0"/>
    </xf>
    <xf numFmtId="164" fontId="23" fillId="18" borderId="2" xfId="0" applyNumberFormat="1" applyFont="1" applyFill="1" applyBorder="1" applyAlignment="1" applyProtection="1">
      <alignment horizontal="center" vertical="center"/>
      <protection locked="0"/>
    </xf>
    <xf numFmtId="164" fontId="23" fillId="18" borderId="3" xfId="0" applyNumberFormat="1" applyFont="1" applyFill="1" applyBorder="1" applyAlignment="1" applyProtection="1">
      <alignment horizontal="center" vertical="center"/>
      <protection locked="0"/>
    </xf>
    <xf numFmtId="164" fontId="23" fillId="18" borderId="4" xfId="0" applyNumberFormat="1" applyFont="1" applyFill="1" applyBorder="1" applyAlignment="1" applyProtection="1">
      <alignment horizontal="center" vertical="center"/>
      <protection locked="0"/>
    </xf>
    <xf numFmtId="164" fontId="25" fillId="0" borderId="2" xfId="0" applyNumberFormat="1" applyFont="1" applyBorder="1" applyAlignment="1" applyProtection="1">
      <alignment horizontal="center"/>
      <protection locked="0"/>
    </xf>
    <xf numFmtId="164" fontId="25" fillId="0" borderId="3" xfId="0" applyNumberFormat="1" applyFont="1" applyBorder="1" applyAlignment="1" applyProtection="1">
      <alignment horizontal="center"/>
      <protection locked="0"/>
    </xf>
    <xf numFmtId="164" fontId="25" fillId="0" borderId="4" xfId="0" applyNumberFormat="1" applyFont="1" applyBorder="1" applyAlignment="1" applyProtection="1">
      <alignment horizontal="center"/>
      <protection locked="0"/>
    </xf>
    <xf numFmtId="164" fontId="23" fillId="9" borderId="2" xfId="0" applyNumberFormat="1" applyFont="1" applyFill="1" applyBorder="1" applyAlignment="1" applyProtection="1">
      <alignment horizontal="center" vertical="center"/>
      <protection locked="0"/>
    </xf>
    <xf numFmtId="164" fontId="23" fillId="9" borderId="3" xfId="0" applyNumberFormat="1" applyFont="1" applyFill="1" applyBorder="1" applyAlignment="1" applyProtection="1">
      <alignment horizontal="center" vertical="center"/>
      <protection locked="0"/>
    </xf>
    <xf numFmtId="164" fontId="23" fillId="9" borderId="4" xfId="0" applyNumberFormat="1" applyFont="1" applyFill="1" applyBorder="1" applyAlignment="1" applyProtection="1">
      <alignment horizontal="center" vertical="center"/>
      <protection locked="0"/>
    </xf>
    <xf numFmtId="164" fontId="23" fillId="8" borderId="2" xfId="0" applyNumberFormat="1" applyFont="1" applyFill="1" applyBorder="1" applyAlignment="1" applyProtection="1">
      <alignment horizontal="center" vertical="center"/>
      <protection locked="0"/>
    </xf>
    <xf numFmtId="164" fontId="23" fillId="8" borderId="3" xfId="0" applyNumberFormat="1" applyFont="1" applyFill="1" applyBorder="1" applyAlignment="1" applyProtection="1">
      <alignment horizontal="center" vertical="center"/>
      <protection locked="0"/>
    </xf>
    <xf numFmtId="164" fontId="23" fillId="8" borderId="4" xfId="0" applyNumberFormat="1" applyFont="1" applyFill="1" applyBorder="1" applyAlignment="1" applyProtection="1">
      <alignment horizontal="center" vertical="center"/>
      <protection locked="0"/>
    </xf>
    <xf numFmtId="164" fontId="24" fillId="0" borderId="2" xfId="0" applyNumberFormat="1" applyFont="1" applyBorder="1" applyAlignment="1" applyProtection="1">
      <alignment horizontal="center"/>
      <protection locked="0"/>
    </xf>
    <xf numFmtId="164" fontId="24" fillId="0" borderId="3" xfId="0" applyNumberFormat="1" applyFont="1" applyBorder="1" applyAlignment="1" applyProtection="1">
      <alignment horizontal="center"/>
      <protection locked="0"/>
    </xf>
    <xf numFmtId="164" fontId="24" fillId="0" borderId="4" xfId="0" applyNumberFormat="1" applyFont="1" applyBorder="1" applyAlignment="1" applyProtection="1">
      <alignment horizontal="center"/>
      <protection locked="0"/>
    </xf>
    <xf numFmtId="164" fontId="23" fillId="5" borderId="2" xfId="0" applyNumberFormat="1" applyFont="1" applyFill="1" applyBorder="1" applyAlignment="1" applyProtection="1">
      <alignment horizontal="center" vertical="center"/>
      <protection locked="0"/>
    </xf>
    <xf numFmtId="164" fontId="23" fillId="5" borderId="3" xfId="0" applyNumberFormat="1" applyFont="1" applyFill="1" applyBorder="1" applyAlignment="1" applyProtection="1">
      <alignment horizontal="center" vertical="center"/>
      <protection locked="0"/>
    </xf>
    <xf numFmtId="164" fontId="23" fillId="5" borderId="4" xfId="0" applyNumberFormat="1" applyFont="1" applyFill="1" applyBorder="1" applyAlignment="1" applyProtection="1">
      <alignment horizontal="center" vertical="center"/>
      <protection locked="0"/>
    </xf>
    <xf numFmtId="164" fontId="23" fillId="17" borderId="2" xfId="0" applyNumberFormat="1" applyFont="1" applyFill="1" applyBorder="1" applyAlignment="1" applyProtection="1">
      <alignment horizontal="center" vertical="center"/>
      <protection locked="0"/>
    </xf>
    <xf numFmtId="164" fontId="23" fillId="17" borderId="3" xfId="0" applyNumberFormat="1" applyFont="1" applyFill="1" applyBorder="1" applyAlignment="1" applyProtection="1">
      <alignment horizontal="center" vertical="center"/>
      <protection locked="0"/>
    </xf>
    <xf numFmtId="164" fontId="23" fillId="17" borderId="4" xfId="0" applyNumberFormat="1" applyFont="1" applyFill="1" applyBorder="1" applyAlignment="1" applyProtection="1">
      <alignment horizontal="center" vertical="center"/>
      <protection locked="0"/>
    </xf>
    <xf numFmtId="164" fontId="12" fillId="10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64" fontId="12" fillId="5" borderId="1" xfId="0" applyNumberFormat="1" applyFont="1" applyFill="1" applyBorder="1" applyAlignment="1">
      <alignment horizontal="center" vertical="center" wrapText="1"/>
    </xf>
    <xf numFmtId="164" fontId="12" fillId="12" borderId="1" xfId="0" applyNumberFormat="1" applyFont="1" applyFill="1" applyBorder="1" applyAlignment="1">
      <alignment horizontal="center" vertical="center" wrapText="1"/>
    </xf>
    <xf numFmtId="164" fontId="23" fillId="7" borderId="2" xfId="0" applyNumberFormat="1" applyFont="1" applyFill="1" applyBorder="1" applyAlignment="1" applyProtection="1">
      <alignment horizontal="center" vertical="center"/>
      <protection locked="0"/>
    </xf>
    <xf numFmtId="164" fontId="23" fillId="7" borderId="3" xfId="0" applyNumberFormat="1" applyFont="1" applyFill="1" applyBorder="1" applyAlignment="1" applyProtection="1">
      <alignment horizontal="center" vertical="center"/>
      <protection locked="0"/>
    </xf>
    <xf numFmtId="164" fontId="23" fillId="7" borderId="4" xfId="0" applyNumberFormat="1" applyFont="1" applyFill="1" applyBorder="1" applyAlignment="1" applyProtection="1">
      <alignment horizontal="center" vertical="center"/>
      <protection locked="0"/>
    </xf>
    <xf numFmtId="164" fontId="12" fillId="8" borderId="7" xfId="0" applyNumberFormat="1" applyFont="1" applyFill="1" applyBorder="1" applyAlignment="1">
      <alignment horizontal="center" vertical="center" wrapText="1"/>
    </xf>
    <xf numFmtId="164" fontId="12" fillId="8" borderId="8" xfId="0" applyNumberFormat="1" applyFont="1" applyFill="1" applyBorder="1" applyAlignment="1">
      <alignment horizontal="center" vertical="center" wrapText="1"/>
    </xf>
    <xf numFmtId="164" fontId="6" fillId="2" borderId="0" xfId="0" applyNumberFormat="1" applyFont="1" applyFill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2">
    <cellStyle name="Excel Built-in Normal" xfId="1" xr:uid="{DC3C7A4C-2BEC-4E1E-AA9F-2BE92369A89F}"/>
    <cellStyle name="Normal" xfId="0" builtinId="0"/>
  </cellStyles>
  <dxfs count="26"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C0EFF8"/>
      <color rgb="FFB75AFC"/>
      <color rgb="FFFF8F8F"/>
      <color rgb="FFD60093"/>
      <color rgb="FFCC0099"/>
      <color rgb="FFE1233E"/>
      <color rgb="FF0066FF"/>
      <color rgb="FF845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A9DE0-7C34-4999-9B12-79E2CF8D22E7}">
  <sheetPr codeName="Hoja12"/>
  <dimension ref="A1:AV42"/>
  <sheetViews>
    <sheetView showGridLines="0" topLeftCell="A21" zoomScale="91" zoomScaleNormal="90" zoomScaleSheetLayoutView="40" workbookViewId="0">
      <selection activeCell="AX38" sqref="AX38"/>
    </sheetView>
  </sheetViews>
  <sheetFormatPr baseColWidth="10" defaultColWidth="11.44140625" defaultRowHeight="14.4" x14ac:dyDescent="0.3"/>
  <cols>
    <col min="1" max="1" width="1.77734375" style="5" customWidth="1"/>
    <col min="2" max="3" width="12.6640625" style="5" customWidth="1"/>
    <col min="4" max="6" width="4.5546875" style="5" customWidth="1"/>
    <col min="7" max="7" width="5.44140625" style="5" hidden="1" customWidth="1"/>
    <col min="8" max="8" width="3.88671875" style="5" customWidth="1"/>
    <col min="9" max="9" width="4.5546875" style="5" customWidth="1"/>
    <col min="10" max="10" width="5.88671875" style="5" customWidth="1"/>
    <col min="11" max="11" width="4.6640625" style="5" customWidth="1"/>
    <col min="12" max="13" width="4.5546875" style="5" hidden="1" customWidth="1"/>
    <col min="14" max="14" width="3.88671875" style="5" customWidth="1"/>
    <col min="15" max="16" width="4.5546875" style="5" customWidth="1"/>
    <col min="17" max="18" width="4.5546875" style="5" hidden="1" customWidth="1"/>
    <col min="19" max="19" width="4.5546875" style="5" customWidth="1"/>
    <col min="20" max="20" width="4.5546875" style="5" hidden="1" customWidth="1"/>
    <col min="21" max="21" width="3.88671875" style="5" customWidth="1"/>
    <col min="22" max="25" width="4.5546875" style="5" customWidth="1"/>
    <col min="26" max="27" width="4.5546875" style="5" hidden="1" customWidth="1"/>
    <col min="28" max="28" width="3.88671875" style="5" customWidth="1"/>
    <col min="29" max="32" width="4.5546875" style="5" customWidth="1"/>
    <col min="33" max="34" width="4.5546875" style="5" hidden="1" customWidth="1"/>
    <col min="35" max="35" width="3.88671875" style="5" customWidth="1"/>
    <col min="36" max="39" width="4.5546875" style="5" customWidth="1"/>
    <col min="40" max="41" width="4.5546875" style="5" hidden="1" customWidth="1"/>
    <col min="42" max="42" width="3.88671875" style="5" customWidth="1"/>
    <col min="43" max="46" width="4.5546875" style="5" customWidth="1"/>
    <col min="47" max="48" width="4.5546875" style="5" hidden="1" customWidth="1"/>
    <col min="49" max="16384" width="11.44140625" style="5"/>
  </cols>
  <sheetData>
    <row r="1" spans="1:48" ht="18" x14ac:dyDescent="0.35">
      <c r="A1" s="2" t="e" cm="1">
        <f t="array" ref="A1">A1:AV38M &amp; B Vertical S.A.C.</f>
        <v>#NAME?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</row>
    <row r="2" spans="1:48" ht="45" customHeight="1" x14ac:dyDescent="0.3">
      <c r="A2" s="48" t="s">
        <v>1</v>
      </c>
      <c r="B2" s="7"/>
      <c r="C2" s="7"/>
      <c r="D2" s="170" t="str">
        <f>UPPER(CONCATENATE("HORARIO ",TEXT(DAY(C5),"00")," DE ",TEXT(C5,"mmmm")," AL ",TEXT(DAY(C5+6),"00")," DE ",TEXT(C5+6,"mmmm")))</f>
        <v>HORARIO 24 DE AGOSTO AL 30 DE AGOSTO</v>
      </c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  <c r="AJ2" s="170"/>
      <c r="AK2" s="170"/>
      <c r="AL2" s="170"/>
      <c r="AM2" s="170"/>
      <c r="AN2" s="170"/>
      <c r="AO2" s="170"/>
      <c r="AP2" s="170"/>
      <c r="AQ2" s="170"/>
      <c r="AR2" s="170"/>
      <c r="AS2" s="170"/>
      <c r="AT2" s="170"/>
      <c r="AU2" s="170"/>
      <c r="AV2" s="40"/>
    </row>
    <row r="3" spans="1:48" ht="15" customHeight="1" x14ac:dyDescent="0.3">
      <c r="A3" s="6"/>
      <c r="D3" s="175" t="s">
        <v>23</v>
      </c>
      <c r="E3" s="175"/>
      <c r="F3" s="175"/>
      <c r="G3" s="175"/>
      <c r="H3" s="175"/>
      <c r="AB3" s="175" t="s">
        <v>23</v>
      </c>
      <c r="AC3" s="175"/>
      <c r="AD3" s="175"/>
      <c r="AE3" s="175"/>
      <c r="AF3" s="175"/>
      <c r="AG3" s="175"/>
      <c r="AH3" s="175"/>
      <c r="AI3" s="175"/>
    </row>
    <row r="4" spans="1:48" ht="15" customHeight="1" x14ac:dyDescent="0.3">
      <c r="D4" s="175"/>
      <c r="E4" s="175"/>
      <c r="F4" s="175"/>
      <c r="G4" s="175"/>
      <c r="H4" s="175"/>
      <c r="AB4" s="175"/>
      <c r="AC4" s="175"/>
      <c r="AD4" s="175"/>
      <c r="AE4" s="175"/>
      <c r="AF4" s="175"/>
      <c r="AG4" s="175"/>
      <c r="AH4" s="175"/>
      <c r="AI4" s="175"/>
    </row>
    <row r="5" spans="1:48" ht="37.5" customHeight="1" x14ac:dyDescent="0.35">
      <c r="B5" s="47" t="s">
        <v>11</v>
      </c>
      <c r="C5" s="29">
        <v>46258</v>
      </c>
      <c r="D5" s="173" t="str">
        <f>CONCATENATE("Lunes ",TEXT(DAY(C5),"00"))</f>
        <v>Lunes 24</v>
      </c>
      <c r="E5" s="174"/>
      <c r="F5" s="174"/>
      <c r="G5" s="117"/>
      <c r="H5" s="118"/>
      <c r="I5" s="172" t="str">
        <f>CONCATENATE("Martes ",TEXT(DAY(C5+1),"00"))</f>
        <v>Martes 25</v>
      </c>
      <c r="J5" s="172"/>
      <c r="K5" s="172"/>
      <c r="L5" s="116"/>
      <c r="M5" s="117"/>
      <c r="N5" s="118"/>
      <c r="O5" s="172" t="str">
        <f>CONCATENATE("Miercoles ",TEXT(DAY(C5+2),"00"))</f>
        <v>Miercoles 26</v>
      </c>
      <c r="P5" s="172"/>
      <c r="Q5" s="172"/>
      <c r="R5" s="172"/>
      <c r="S5" s="172"/>
      <c r="T5" s="117"/>
      <c r="U5" s="118"/>
      <c r="V5" s="124" t="str">
        <f>CONCATENATE("Jueves ",TEXT(DAY(C5+3),"00"))</f>
        <v>Jueves 27</v>
      </c>
      <c r="W5" s="124"/>
      <c r="X5" s="124"/>
      <c r="Y5" s="124"/>
      <c r="Z5" s="116"/>
      <c r="AA5" s="117"/>
      <c r="AB5" s="118"/>
      <c r="AC5" s="124" t="str">
        <f>CONCATENATE("Viernes ",TEXT(DAY(C5+4),"00"))</f>
        <v>Viernes 28</v>
      </c>
      <c r="AD5" s="124"/>
      <c r="AE5" s="124"/>
      <c r="AF5" s="124"/>
      <c r="AG5" s="116"/>
      <c r="AH5" s="117"/>
      <c r="AI5" s="118"/>
      <c r="AJ5" s="124" t="str">
        <f>CONCATENATE("Sábado ",TEXT(DAY(C5+5),"00"))</f>
        <v>Sábado 29</v>
      </c>
      <c r="AK5" s="124"/>
      <c r="AL5" s="124"/>
      <c r="AM5" s="124"/>
      <c r="AN5" s="116"/>
      <c r="AO5" s="117"/>
      <c r="AP5" s="118"/>
      <c r="AQ5" s="124" t="str">
        <f>CONCATENATE("Domingo ",TEXT(DAY(C5+6),"00"))</f>
        <v>Domingo 30</v>
      </c>
      <c r="AR5" s="124"/>
      <c r="AS5" s="124"/>
      <c r="AT5" s="124"/>
      <c r="AU5" s="116"/>
      <c r="AV5" s="39"/>
    </row>
    <row r="6" spans="1:48" ht="84.75" customHeight="1" x14ac:dyDescent="0.3">
      <c r="D6" s="119"/>
      <c r="E6" s="120"/>
      <c r="F6" s="103"/>
      <c r="G6" s="63"/>
      <c r="H6" s="64"/>
      <c r="I6" s="119"/>
      <c r="J6" s="120"/>
      <c r="K6" s="103"/>
      <c r="L6" s="93"/>
      <c r="M6" s="63"/>
      <c r="N6" s="64"/>
      <c r="O6" s="119" t="s">
        <v>26</v>
      </c>
      <c r="P6" s="120" t="s">
        <v>28</v>
      </c>
      <c r="Q6" s="93"/>
      <c r="R6" s="93"/>
      <c r="S6" s="103" t="s">
        <v>25</v>
      </c>
      <c r="T6" s="63"/>
      <c r="U6" s="64"/>
      <c r="V6" s="119" t="s">
        <v>26</v>
      </c>
      <c r="W6" s="120" t="s">
        <v>28</v>
      </c>
      <c r="X6" s="98" t="s">
        <v>27</v>
      </c>
      <c r="Y6" s="103" t="s">
        <v>25</v>
      </c>
      <c r="Z6" s="93"/>
      <c r="AA6" s="63"/>
      <c r="AB6" s="64"/>
      <c r="AC6" s="119" t="s">
        <v>26</v>
      </c>
      <c r="AD6" s="120" t="s">
        <v>28</v>
      </c>
      <c r="AE6" s="98" t="s">
        <v>27</v>
      </c>
      <c r="AF6" s="103" t="s">
        <v>25</v>
      </c>
      <c r="AG6" s="93"/>
      <c r="AH6" s="63"/>
      <c r="AI6" s="64"/>
      <c r="AJ6" s="119" t="s">
        <v>26</v>
      </c>
      <c r="AK6" s="120" t="s">
        <v>28</v>
      </c>
      <c r="AL6" s="98" t="s">
        <v>27</v>
      </c>
      <c r="AM6" s="103" t="s">
        <v>25</v>
      </c>
      <c r="AN6" s="93"/>
      <c r="AO6" s="63"/>
      <c r="AP6" s="64"/>
      <c r="AQ6" s="119" t="s">
        <v>26</v>
      </c>
      <c r="AR6" s="120" t="s">
        <v>28</v>
      </c>
      <c r="AS6" s="98" t="s">
        <v>27</v>
      </c>
      <c r="AT6" s="103" t="s">
        <v>25</v>
      </c>
      <c r="AU6" s="93"/>
      <c r="AV6" s="8"/>
    </row>
    <row r="7" spans="1:48" ht="15" hidden="1" customHeight="1" x14ac:dyDescent="0.3">
      <c r="A7" s="3"/>
      <c r="B7" s="31">
        <v>0.999999999999999</v>
      </c>
      <c r="C7" s="31">
        <v>1.0416666666666701</v>
      </c>
      <c r="D7" s="13"/>
      <c r="E7" s="121"/>
      <c r="F7" s="104"/>
      <c r="G7" s="16"/>
      <c r="H7" s="17"/>
      <c r="I7" s="13"/>
      <c r="J7" s="121"/>
      <c r="K7" s="104"/>
      <c r="L7" s="14"/>
      <c r="M7" s="16"/>
      <c r="N7" s="17"/>
      <c r="O7" s="13"/>
      <c r="P7" s="121"/>
      <c r="Q7" s="14"/>
      <c r="R7" s="11"/>
      <c r="S7" s="104"/>
      <c r="T7" s="16"/>
      <c r="U7" s="17"/>
      <c r="V7" s="13"/>
      <c r="W7" s="121"/>
      <c r="X7" s="83"/>
      <c r="Y7" s="104"/>
      <c r="Z7" s="14"/>
      <c r="AA7" s="16"/>
      <c r="AB7" s="17"/>
      <c r="AC7" s="13"/>
      <c r="AD7" s="121"/>
      <c r="AE7" s="83"/>
      <c r="AF7" s="104"/>
      <c r="AG7" s="14"/>
      <c r="AH7" s="16"/>
      <c r="AI7" s="17"/>
      <c r="AJ7" s="13"/>
      <c r="AK7" s="121"/>
      <c r="AL7" s="83"/>
      <c r="AM7" s="104"/>
      <c r="AN7" s="14"/>
      <c r="AO7" s="16"/>
      <c r="AP7" s="17"/>
      <c r="AQ7" s="13"/>
      <c r="AR7" s="121"/>
      <c r="AS7" s="83"/>
      <c r="AT7" s="104"/>
      <c r="AU7" s="14"/>
      <c r="AV7" s="16"/>
    </row>
    <row r="8" spans="1:48" ht="15" hidden="1" customHeight="1" x14ac:dyDescent="0.3">
      <c r="A8" s="3"/>
      <c r="B8" s="31">
        <v>1.0416666666666601</v>
      </c>
      <c r="C8" s="31">
        <v>1.0833333333333399</v>
      </c>
      <c r="D8" s="13"/>
      <c r="E8" s="121"/>
      <c r="F8" s="104"/>
      <c r="G8" s="16"/>
      <c r="H8" s="17"/>
      <c r="I8" s="13"/>
      <c r="J8" s="121"/>
      <c r="K8" s="104"/>
      <c r="L8" s="14"/>
      <c r="M8" s="16"/>
      <c r="N8" s="17"/>
      <c r="O8" s="13"/>
      <c r="P8" s="121"/>
      <c r="Q8" s="14"/>
      <c r="R8" s="11"/>
      <c r="S8" s="104"/>
      <c r="T8" s="16"/>
      <c r="U8" s="17"/>
      <c r="V8" s="13"/>
      <c r="W8" s="121"/>
      <c r="X8" s="83"/>
      <c r="Y8" s="104"/>
      <c r="Z8" s="14"/>
      <c r="AA8" s="16"/>
      <c r="AB8" s="17"/>
      <c r="AC8" s="13"/>
      <c r="AD8" s="121"/>
      <c r="AE8" s="83"/>
      <c r="AF8" s="104"/>
      <c r="AG8" s="14"/>
      <c r="AH8" s="16"/>
      <c r="AI8" s="17"/>
      <c r="AJ8" s="13"/>
      <c r="AK8" s="121"/>
      <c r="AL8" s="83"/>
      <c r="AM8" s="104"/>
      <c r="AN8" s="14"/>
      <c r="AO8" s="16"/>
      <c r="AP8" s="17"/>
      <c r="AQ8" s="13"/>
      <c r="AR8" s="121"/>
      <c r="AS8" s="83"/>
      <c r="AT8" s="104"/>
      <c r="AU8" s="14"/>
      <c r="AV8" s="16"/>
    </row>
    <row r="9" spans="1:48" ht="15" hidden="1" customHeight="1" x14ac:dyDescent="0.3">
      <c r="A9" s="3"/>
      <c r="B9" s="31">
        <v>1.0833333333333299</v>
      </c>
      <c r="C9" s="31">
        <v>1.125</v>
      </c>
      <c r="D9" s="13"/>
      <c r="E9" s="121"/>
      <c r="F9" s="104"/>
      <c r="G9" s="16"/>
      <c r="H9" s="17"/>
      <c r="I9" s="13"/>
      <c r="J9" s="121"/>
      <c r="K9" s="104"/>
      <c r="L9" s="14"/>
      <c r="M9" s="16"/>
      <c r="N9" s="17"/>
      <c r="O9" s="13"/>
      <c r="P9" s="121"/>
      <c r="Q9" s="14"/>
      <c r="R9" s="11"/>
      <c r="S9" s="104"/>
      <c r="T9" s="16"/>
      <c r="U9" s="17"/>
      <c r="V9" s="13"/>
      <c r="W9" s="121"/>
      <c r="X9" s="83"/>
      <c r="Y9" s="104"/>
      <c r="Z9" s="14"/>
      <c r="AA9" s="16"/>
      <c r="AB9" s="17"/>
      <c r="AC9" s="13"/>
      <c r="AD9" s="121"/>
      <c r="AE9" s="83"/>
      <c r="AF9" s="104"/>
      <c r="AG9" s="14"/>
      <c r="AH9" s="16"/>
      <c r="AI9" s="17"/>
      <c r="AJ9" s="13"/>
      <c r="AK9" s="121"/>
      <c r="AL9" s="83"/>
      <c r="AM9" s="104"/>
      <c r="AN9" s="14"/>
      <c r="AO9" s="16"/>
      <c r="AP9" s="17"/>
      <c r="AQ9" s="13"/>
      <c r="AR9" s="121"/>
      <c r="AS9" s="83"/>
      <c r="AT9" s="104"/>
      <c r="AU9" s="14"/>
      <c r="AV9" s="16"/>
    </row>
    <row r="10" spans="1:48" ht="15" hidden="1" customHeight="1" x14ac:dyDescent="0.3">
      <c r="A10" s="3"/>
      <c r="B10" s="31">
        <v>1.125</v>
      </c>
      <c r="C10" s="31">
        <v>1.1666666666666601</v>
      </c>
      <c r="D10" s="13"/>
      <c r="E10" s="121"/>
      <c r="F10" s="104"/>
      <c r="G10" s="16"/>
      <c r="H10" s="17"/>
      <c r="I10" s="13"/>
      <c r="J10" s="121"/>
      <c r="K10" s="104"/>
      <c r="L10" s="14"/>
      <c r="M10" s="16"/>
      <c r="N10" s="17"/>
      <c r="O10" s="13"/>
      <c r="P10" s="121"/>
      <c r="Q10" s="14"/>
      <c r="R10" s="11"/>
      <c r="S10" s="104"/>
      <c r="T10" s="16"/>
      <c r="U10" s="17"/>
      <c r="V10" s="13"/>
      <c r="W10" s="121"/>
      <c r="X10" s="83"/>
      <c r="Y10" s="104"/>
      <c r="Z10" s="14"/>
      <c r="AA10" s="16"/>
      <c r="AB10" s="17"/>
      <c r="AC10" s="13"/>
      <c r="AD10" s="121"/>
      <c r="AE10" s="83"/>
      <c r="AF10" s="104"/>
      <c r="AG10" s="14"/>
      <c r="AH10" s="16"/>
      <c r="AI10" s="17"/>
      <c r="AJ10" s="13"/>
      <c r="AK10" s="121"/>
      <c r="AL10" s="83"/>
      <c r="AM10" s="104"/>
      <c r="AN10" s="14"/>
      <c r="AO10" s="16"/>
      <c r="AP10" s="17"/>
      <c r="AQ10" s="13"/>
      <c r="AR10" s="121"/>
      <c r="AS10" s="83"/>
      <c r="AT10" s="104"/>
      <c r="AU10" s="14"/>
      <c r="AV10" s="16"/>
    </row>
    <row r="11" spans="1:48" ht="15" hidden="1" customHeight="1" x14ac:dyDescent="0.3">
      <c r="A11" s="3"/>
      <c r="B11" s="31">
        <v>1.1666666666666701</v>
      </c>
      <c r="C11" s="31">
        <v>1.2083333333333199</v>
      </c>
      <c r="D11" s="13"/>
      <c r="E11" s="121"/>
      <c r="F11" s="104"/>
      <c r="G11" s="16"/>
      <c r="H11" s="17"/>
      <c r="I11" s="13"/>
      <c r="J11" s="121"/>
      <c r="K11" s="104"/>
      <c r="L11" s="14"/>
      <c r="M11" s="16"/>
      <c r="N11" s="17"/>
      <c r="O11" s="13"/>
      <c r="P11" s="121"/>
      <c r="Q11" s="14"/>
      <c r="R11" s="11"/>
      <c r="S11" s="104"/>
      <c r="T11" s="16"/>
      <c r="U11" s="17"/>
      <c r="V11" s="13"/>
      <c r="W11" s="121"/>
      <c r="X11" s="83"/>
      <c r="Y11" s="104"/>
      <c r="Z11" s="14"/>
      <c r="AA11" s="16"/>
      <c r="AB11" s="17"/>
      <c r="AC11" s="13"/>
      <c r="AD11" s="121"/>
      <c r="AE11" s="83"/>
      <c r="AF11" s="104"/>
      <c r="AG11" s="14"/>
      <c r="AH11" s="16"/>
      <c r="AI11" s="17"/>
      <c r="AJ11" s="13"/>
      <c r="AK11" s="121"/>
      <c r="AL11" s="83"/>
      <c r="AM11" s="104"/>
      <c r="AN11" s="14"/>
      <c r="AO11" s="16"/>
      <c r="AP11" s="17"/>
      <c r="AQ11" s="13"/>
      <c r="AR11" s="121"/>
      <c r="AS11" s="83"/>
      <c r="AT11" s="104"/>
      <c r="AU11" s="14"/>
      <c r="AV11" s="16"/>
    </row>
    <row r="12" spans="1:48" ht="15" hidden="1" customHeight="1" x14ac:dyDescent="0.3">
      <c r="A12" s="3"/>
      <c r="B12" s="31">
        <v>1.2083333333333399</v>
      </c>
      <c r="C12" s="31">
        <v>1.24999999999998</v>
      </c>
      <c r="D12" s="13"/>
      <c r="E12" s="121"/>
      <c r="F12" s="104"/>
      <c r="G12" s="16"/>
      <c r="H12" s="17"/>
      <c r="I12" s="13"/>
      <c r="J12" s="121"/>
      <c r="K12" s="104"/>
      <c r="L12" s="14"/>
      <c r="M12" s="16"/>
      <c r="N12" s="17"/>
      <c r="O12" s="13"/>
      <c r="P12" s="121"/>
      <c r="Q12" s="14"/>
      <c r="R12" s="11"/>
      <c r="S12" s="104"/>
      <c r="T12" s="16"/>
      <c r="U12" s="17"/>
      <c r="V12" s="13"/>
      <c r="W12" s="121"/>
      <c r="X12" s="83"/>
      <c r="Y12" s="104"/>
      <c r="Z12" s="14"/>
      <c r="AA12" s="16"/>
      <c r="AB12" s="17"/>
      <c r="AC12" s="13"/>
      <c r="AD12" s="121"/>
      <c r="AE12" s="83"/>
      <c r="AF12" s="104"/>
      <c r="AG12" s="14"/>
      <c r="AH12" s="16"/>
      <c r="AI12" s="17"/>
      <c r="AJ12" s="13"/>
      <c r="AK12" s="121"/>
      <c r="AL12" s="83"/>
      <c r="AM12" s="104"/>
      <c r="AN12" s="14"/>
      <c r="AO12" s="16"/>
      <c r="AP12" s="17"/>
      <c r="AQ12" s="13"/>
      <c r="AR12" s="121"/>
      <c r="AS12" s="83"/>
      <c r="AT12" s="104"/>
      <c r="AU12" s="14"/>
      <c r="AV12" s="16"/>
    </row>
    <row r="13" spans="1:48" x14ac:dyDescent="0.3">
      <c r="A13" s="3"/>
      <c r="B13" s="31">
        <v>1.25000000000001</v>
      </c>
      <c r="C13" s="31">
        <v>1.2916666666666401</v>
      </c>
      <c r="D13" s="13"/>
      <c r="E13" s="121"/>
      <c r="F13" s="104"/>
      <c r="G13" s="16"/>
      <c r="H13" s="17"/>
      <c r="I13" s="13"/>
      <c r="J13" s="121"/>
      <c r="K13" s="104"/>
      <c r="L13" s="14"/>
      <c r="M13" s="16"/>
      <c r="N13" s="17"/>
      <c r="O13" s="13"/>
      <c r="P13" s="121"/>
      <c r="Q13" s="14"/>
      <c r="R13" s="11"/>
      <c r="S13" s="104"/>
      <c r="T13" s="16"/>
      <c r="U13" s="17"/>
      <c r="V13" s="13"/>
      <c r="W13" s="121"/>
      <c r="X13" s="83"/>
      <c r="Y13" s="104"/>
      <c r="Z13" s="14"/>
      <c r="AA13" s="16"/>
      <c r="AB13" s="17"/>
      <c r="AC13" s="13"/>
      <c r="AD13" s="121"/>
      <c r="AE13" s="83"/>
      <c r="AF13" s="104"/>
      <c r="AG13" s="14"/>
      <c r="AH13" s="16"/>
      <c r="AI13" s="17"/>
      <c r="AJ13" s="13"/>
      <c r="AK13" s="121"/>
      <c r="AL13" s="83"/>
      <c r="AM13" s="104"/>
      <c r="AN13" s="14"/>
      <c r="AO13" s="16"/>
      <c r="AP13" s="17"/>
      <c r="AQ13" s="13"/>
      <c r="AR13" s="121"/>
      <c r="AS13" s="83"/>
      <c r="AT13" s="104"/>
      <c r="AU13" s="14"/>
      <c r="AV13" s="16"/>
    </row>
    <row r="14" spans="1:48" x14ac:dyDescent="0.3">
      <c r="A14" s="3"/>
      <c r="B14" s="31">
        <v>1.2916666666666801</v>
      </c>
      <c r="C14" s="31">
        <v>1.3333333333333</v>
      </c>
      <c r="D14" s="13"/>
      <c r="E14" s="121"/>
      <c r="F14" s="104"/>
      <c r="G14" s="16"/>
      <c r="H14" s="17"/>
      <c r="I14" s="13"/>
      <c r="J14" s="121"/>
      <c r="K14" s="104"/>
      <c r="L14" s="14"/>
      <c r="M14" s="16"/>
      <c r="N14" s="17"/>
      <c r="O14" s="13"/>
      <c r="P14" s="121"/>
      <c r="Q14" s="14"/>
      <c r="R14" s="11"/>
      <c r="S14" s="104"/>
      <c r="T14" s="16"/>
      <c r="U14" s="17"/>
      <c r="V14" s="13"/>
      <c r="W14" s="121"/>
      <c r="X14" s="83"/>
      <c r="Y14" s="104"/>
      <c r="Z14" s="14"/>
      <c r="AA14" s="16"/>
      <c r="AB14" s="17"/>
      <c r="AC14" s="13"/>
      <c r="AD14" s="121"/>
      <c r="AE14" s="83"/>
      <c r="AF14" s="104"/>
      <c r="AG14" s="14"/>
      <c r="AH14" s="16"/>
      <c r="AI14" s="17"/>
      <c r="AJ14" s="13"/>
      <c r="AK14" s="121"/>
      <c r="AL14" s="83"/>
      <c r="AM14" s="104"/>
      <c r="AN14" s="14"/>
      <c r="AO14" s="16"/>
      <c r="AP14" s="17"/>
      <c r="AQ14" s="13"/>
      <c r="AR14" s="121"/>
      <c r="AS14" s="83"/>
      <c r="AT14" s="104"/>
      <c r="AU14" s="14"/>
      <c r="AV14" s="16"/>
    </row>
    <row r="15" spans="1:48" x14ac:dyDescent="0.3">
      <c r="B15" s="49">
        <v>0.33333333333333298</v>
      </c>
      <c r="C15" s="49">
        <v>0.375</v>
      </c>
      <c r="D15" s="13"/>
      <c r="E15" s="121"/>
      <c r="F15" s="104"/>
      <c r="G15" s="44"/>
      <c r="H15" s="45"/>
      <c r="I15" s="13"/>
      <c r="J15" s="121"/>
      <c r="K15" s="104"/>
      <c r="L15" s="14"/>
      <c r="M15" s="44"/>
      <c r="N15" s="45"/>
      <c r="O15" s="13"/>
      <c r="P15" s="121"/>
      <c r="Q15" s="104"/>
      <c r="R15" s="11"/>
      <c r="S15" s="104"/>
      <c r="T15" s="44"/>
      <c r="U15" s="45"/>
      <c r="V15" s="13"/>
      <c r="W15" s="121"/>
      <c r="X15" s="83"/>
      <c r="Y15" s="104"/>
      <c r="Z15" s="14"/>
      <c r="AA15" s="44"/>
      <c r="AB15" s="45"/>
      <c r="AC15" s="13"/>
      <c r="AD15" s="121"/>
      <c r="AE15" s="83"/>
      <c r="AF15" s="104"/>
      <c r="AG15" s="14"/>
      <c r="AH15" s="44"/>
      <c r="AI15" s="45"/>
      <c r="AJ15" s="13"/>
      <c r="AK15" s="121"/>
      <c r="AL15" s="83"/>
      <c r="AM15" s="104"/>
      <c r="AN15" s="14"/>
      <c r="AO15" s="44"/>
      <c r="AP15" s="45"/>
      <c r="AQ15" s="13"/>
      <c r="AR15" s="121"/>
      <c r="AS15" s="83"/>
      <c r="AT15" s="104"/>
      <c r="AU15" s="111"/>
      <c r="AV15" s="44"/>
    </row>
    <row r="16" spans="1:48" x14ac:dyDescent="0.3">
      <c r="B16" s="49">
        <v>0.375</v>
      </c>
      <c r="C16" s="49">
        <v>0.41666666666666702</v>
      </c>
      <c r="D16" s="13"/>
      <c r="E16" s="121"/>
      <c r="F16" s="104"/>
      <c r="G16" s="44"/>
      <c r="H16" s="45"/>
      <c r="I16" s="13"/>
      <c r="J16" s="121"/>
      <c r="K16" s="104"/>
      <c r="L16" s="89"/>
      <c r="M16" s="44"/>
      <c r="N16" s="45"/>
      <c r="O16" s="13"/>
      <c r="P16" s="121"/>
      <c r="Q16" s="121"/>
      <c r="R16" s="121"/>
      <c r="S16" s="121"/>
      <c r="T16" s="121"/>
      <c r="U16" s="45"/>
      <c r="V16" s="13"/>
      <c r="W16" s="121"/>
      <c r="X16" s="83"/>
      <c r="Y16" s="104"/>
      <c r="Z16" s="43"/>
      <c r="AA16" s="44"/>
      <c r="AB16" s="45"/>
      <c r="AC16" s="13"/>
      <c r="AD16" s="121"/>
      <c r="AE16" s="83"/>
      <c r="AF16" s="104"/>
      <c r="AG16" s="66"/>
      <c r="AH16" s="44"/>
      <c r="AI16" s="45"/>
      <c r="AJ16" s="13"/>
      <c r="AK16" s="121"/>
      <c r="AL16" s="83"/>
      <c r="AM16" s="104">
        <v>1</v>
      </c>
      <c r="AN16" s="66"/>
      <c r="AO16" s="44"/>
      <c r="AP16" s="45"/>
      <c r="AQ16" s="13"/>
      <c r="AR16" s="121"/>
      <c r="AS16" s="83"/>
      <c r="AT16" s="104"/>
      <c r="AU16" s="111"/>
      <c r="AV16" s="44"/>
    </row>
    <row r="17" spans="1:48" x14ac:dyDescent="0.3">
      <c r="A17" s="3"/>
      <c r="B17" s="1">
        <v>0.41666666666666669</v>
      </c>
      <c r="C17" s="1">
        <v>0.45833333333333331</v>
      </c>
      <c r="D17" s="89"/>
      <c r="E17" s="122"/>
      <c r="F17" s="105"/>
      <c r="G17" s="44"/>
      <c r="H17" s="45"/>
      <c r="I17" s="89"/>
      <c r="J17" s="122"/>
      <c r="K17" s="105"/>
      <c r="L17" s="43"/>
      <c r="M17" s="44"/>
      <c r="N17" s="45"/>
      <c r="O17" s="89"/>
      <c r="P17" s="122"/>
      <c r="Q17" s="43"/>
      <c r="R17" s="41"/>
      <c r="S17" s="105"/>
      <c r="T17" s="44"/>
      <c r="U17" s="45"/>
      <c r="V17" s="89">
        <v>1</v>
      </c>
      <c r="W17" s="122">
        <v>1</v>
      </c>
      <c r="X17" s="70"/>
      <c r="Y17" s="105">
        <v>1</v>
      </c>
      <c r="Z17" s="43"/>
      <c r="AA17" s="44"/>
      <c r="AB17" s="45"/>
      <c r="AC17" s="89">
        <v>1</v>
      </c>
      <c r="AD17" s="122">
        <v>1</v>
      </c>
      <c r="AE17" s="70">
        <v>1</v>
      </c>
      <c r="AF17" s="105">
        <v>1</v>
      </c>
      <c r="AG17" s="88"/>
      <c r="AH17" s="44"/>
      <c r="AI17" s="45"/>
      <c r="AJ17" s="89"/>
      <c r="AK17" s="122"/>
      <c r="AL17" s="70"/>
      <c r="AM17" s="105">
        <v>1</v>
      </c>
      <c r="AN17" s="43"/>
      <c r="AO17" s="44"/>
      <c r="AP17" s="45"/>
      <c r="AQ17" s="89"/>
      <c r="AR17" s="122"/>
      <c r="AS17" s="70"/>
      <c r="AT17" s="105">
        <v>1</v>
      </c>
      <c r="AU17" s="43"/>
      <c r="AV17" s="44"/>
    </row>
    <row r="18" spans="1:48" ht="15" customHeight="1" x14ac:dyDescent="0.3">
      <c r="A18" s="3"/>
      <c r="B18" s="1">
        <v>0.45833333333333331</v>
      </c>
      <c r="C18" s="1">
        <v>0.5</v>
      </c>
      <c r="D18" s="89"/>
      <c r="E18" s="122"/>
      <c r="F18" s="105"/>
      <c r="G18" s="44"/>
      <c r="H18" s="45"/>
      <c r="I18" s="89"/>
      <c r="J18" s="122"/>
      <c r="K18" s="105"/>
      <c r="L18" s="43"/>
      <c r="M18" s="44"/>
      <c r="N18" s="45"/>
      <c r="O18" s="89"/>
      <c r="P18" s="122"/>
      <c r="Q18" s="43"/>
      <c r="R18" s="41"/>
      <c r="S18" s="105"/>
      <c r="T18" s="44"/>
      <c r="U18" s="45"/>
      <c r="V18" s="89">
        <v>1</v>
      </c>
      <c r="W18" s="122">
        <v>1</v>
      </c>
      <c r="X18" s="70"/>
      <c r="Y18" s="105">
        <v>1</v>
      </c>
      <c r="Z18" s="43"/>
      <c r="AA18" s="44"/>
      <c r="AB18" s="45"/>
      <c r="AC18" s="89">
        <v>1</v>
      </c>
      <c r="AD18" s="122">
        <v>1</v>
      </c>
      <c r="AE18" s="70">
        <v>1</v>
      </c>
      <c r="AF18" s="105">
        <v>1</v>
      </c>
      <c r="AG18" s="43"/>
      <c r="AH18" s="44"/>
      <c r="AI18" s="45"/>
      <c r="AJ18" s="89"/>
      <c r="AK18" s="122"/>
      <c r="AL18" s="70"/>
      <c r="AM18" s="105">
        <v>1</v>
      </c>
      <c r="AN18" s="43"/>
      <c r="AO18" s="44"/>
      <c r="AP18" s="45"/>
      <c r="AQ18" s="89"/>
      <c r="AR18" s="122">
        <v>1</v>
      </c>
      <c r="AS18" s="70"/>
      <c r="AT18" s="105">
        <v>1</v>
      </c>
      <c r="AU18" s="43"/>
      <c r="AV18" s="44"/>
    </row>
    <row r="19" spans="1:48" x14ac:dyDescent="0.3">
      <c r="A19" s="3"/>
      <c r="B19" s="1">
        <v>0.5</v>
      </c>
      <c r="C19" s="1">
        <v>0.54166666666666663</v>
      </c>
      <c r="D19" s="89"/>
      <c r="E19" s="122"/>
      <c r="F19" s="105"/>
      <c r="G19" s="44"/>
      <c r="H19" s="45"/>
      <c r="I19" s="89"/>
      <c r="J19" s="122"/>
      <c r="K19" s="105"/>
      <c r="L19" s="43"/>
      <c r="M19" s="44"/>
      <c r="N19" s="45"/>
      <c r="O19" s="89"/>
      <c r="P19" s="122"/>
      <c r="Q19" s="43"/>
      <c r="R19" s="41"/>
      <c r="S19" s="105"/>
      <c r="T19" s="44"/>
      <c r="U19" s="45"/>
      <c r="V19" s="89">
        <v>1</v>
      </c>
      <c r="W19" s="122">
        <v>1</v>
      </c>
      <c r="X19" s="70">
        <v>1</v>
      </c>
      <c r="Y19" s="105">
        <v>1</v>
      </c>
      <c r="Z19" s="43"/>
      <c r="AA19" s="44"/>
      <c r="AB19" s="45"/>
      <c r="AC19" s="89"/>
      <c r="AD19" s="122"/>
      <c r="AE19" s="70"/>
      <c r="AF19" s="105"/>
      <c r="AG19" s="43"/>
      <c r="AH19" s="44"/>
      <c r="AI19" s="45"/>
      <c r="AJ19" s="89"/>
      <c r="AK19" s="122"/>
      <c r="AL19" s="70">
        <v>1</v>
      </c>
      <c r="AM19" s="105">
        <v>1</v>
      </c>
      <c r="AN19" s="43"/>
      <c r="AO19" s="44"/>
      <c r="AP19" s="45"/>
      <c r="AQ19" s="89"/>
      <c r="AR19" s="122">
        <v>1</v>
      </c>
      <c r="AS19" s="70"/>
      <c r="AT19" s="105">
        <v>1</v>
      </c>
      <c r="AU19" s="43"/>
      <c r="AV19" s="44"/>
    </row>
    <row r="20" spans="1:48" ht="15.75" customHeight="1" x14ac:dyDescent="0.3">
      <c r="A20" s="3"/>
      <c r="B20" s="1">
        <v>0.54166666666666663</v>
      </c>
      <c r="C20" s="1">
        <v>0.58333333333333304</v>
      </c>
      <c r="D20" s="89"/>
      <c r="E20" s="122"/>
      <c r="F20" s="105"/>
      <c r="G20" s="44"/>
      <c r="H20" s="46"/>
      <c r="I20" s="89"/>
      <c r="J20" s="122"/>
      <c r="K20" s="105"/>
      <c r="L20" s="43"/>
      <c r="M20" s="44"/>
      <c r="N20" s="46"/>
      <c r="O20" s="89"/>
      <c r="P20" s="122"/>
      <c r="Q20" s="43"/>
      <c r="R20" s="41"/>
      <c r="S20" s="105"/>
      <c r="T20" s="44"/>
      <c r="U20" s="46"/>
      <c r="V20" s="89"/>
      <c r="W20" s="122"/>
      <c r="X20" s="70"/>
      <c r="Y20" s="105"/>
      <c r="Z20" s="43"/>
      <c r="AA20" s="44"/>
      <c r="AB20" s="46"/>
      <c r="AC20" s="89">
        <v>1</v>
      </c>
      <c r="AD20" s="122">
        <v>1</v>
      </c>
      <c r="AE20" s="70">
        <v>1</v>
      </c>
      <c r="AF20" s="105">
        <v>1</v>
      </c>
      <c r="AG20" s="43"/>
      <c r="AH20" s="44"/>
      <c r="AI20" s="46"/>
      <c r="AJ20" s="89">
        <v>1</v>
      </c>
      <c r="AK20" s="122">
        <v>1</v>
      </c>
      <c r="AL20" s="70"/>
      <c r="AM20" s="105"/>
      <c r="AN20" s="43"/>
      <c r="AO20" s="44"/>
      <c r="AP20" s="46"/>
      <c r="AQ20" s="89">
        <v>1</v>
      </c>
      <c r="AR20" s="122"/>
      <c r="AS20" s="70">
        <v>1</v>
      </c>
      <c r="AT20" s="105"/>
      <c r="AU20" s="43"/>
      <c r="AV20" s="44"/>
    </row>
    <row r="21" spans="1:48" ht="15" customHeight="1" x14ac:dyDescent="0.3">
      <c r="A21" s="3" t="s">
        <v>2</v>
      </c>
      <c r="B21" s="1">
        <v>0.58333333333333304</v>
      </c>
      <c r="C21" s="1">
        <v>0.625</v>
      </c>
      <c r="D21" s="89"/>
      <c r="E21" s="122"/>
      <c r="F21" s="105"/>
      <c r="G21" s="44"/>
      <c r="H21" s="45"/>
      <c r="I21" s="89"/>
      <c r="J21" s="122"/>
      <c r="K21" s="105"/>
      <c r="L21" s="43"/>
      <c r="M21" s="44"/>
      <c r="N21" s="45"/>
      <c r="O21" s="89"/>
      <c r="P21" s="122"/>
      <c r="Q21" s="43"/>
      <c r="R21" s="41"/>
      <c r="S21" s="105"/>
      <c r="T21" s="44"/>
      <c r="U21" s="45"/>
      <c r="V21" s="89">
        <v>1</v>
      </c>
      <c r="W21" s="122">
        <v>1</v>
      </c>
      <c r="X21" s="70">
        <v>1</v>
      </c>
      <c r="Y21" s="105">
        <v>1</v>
      </c>
      <c r="Z21" s="43"/>
      <c r="AA21" s="44"/>
      <c r="AB21" s="45"/>
      <c r="AC21" s="89">
        <v>1</v>
      </c>
      <c r="AD21" s="122">
        <v>1</v>
      </c>
      <c r="AE21" s="70">
        <v>1</v>
      </c>
      <c r="AF21" s="105">
        <v>1</v>
      </c>
      <c r="AG21" s="43"/>
      <c r="AH21" s="44"/>
      <c r="AI21" s="45"/>
      <c r="AJ21" s="89"/>
      <c r="AK21" s="122"/>
      <c r="AL21" s="70">
        <v>1</v>
      </c>
      <c r="AM21" s="105">
        <v>1</v>
      </c>
      <c r="AN21" s="43"/>
      <c r="AO21" s="44"/>
      <c r="AP21" s="45"/>
      <c r="AQ21" s="89"/>
      <c r="AR21" s="122">
        <v>1</v>
      </c>
      <c r="AS21" s="70"/>
      <c r="AT21" s="105">
        <v>1</v>
      </c>
      <c r="AU21" s="43"/>
      <c r="AV21" s="44"/>
    </row>
    <row r="22" spans="1:48" ht="15" customHeight="1" x14ac:dyDescent="0.3">
      <c r="A22" s="3"/>
      <c r="B22" s="1">
        <v>0.625</v>
      </c>
      <c r="C22" s="1">
        <v>0.66666666666666696</v>
      </c>
      <c r="D22" s="89"/>
      <c r="E22" s="122"/>
      <c r="F22" s="105"/>
      <c r="G22" s="44"/>
      <c r="H22" s="45"/>
      <c r="I22" s="89"/>
      <c r="J22" s="122"/>
      <c r="K22" s="105"/>
      <c r="L22" s="43"/>
      <c r="M22" s="44"/>
      <c r="N22" s="45"/>
      <c r="O22" s="89"/>
      <c r="P22" s="122"/>
      <c r="Q22" s="43"/>
      <c r="R22" s="41"/>
      <c r="S22" s="105"/>
      <c r="T22" s="44"/>
      <c r="U22" s="45"/>
      <c r="V22" s="89">
        <v>1</v>
      </c>
      <c r="W22" s="122">
        <v>1</v>
      </c>
      <c r="X22" s="70">
        <v>1</v>
      </c>
      <c r="Y22" s="105">
        <v>1</v>
      </c>
      <c r="Z22" s="43"/>
      <c r="AA22" s="44"/>
      <c r="AB22" s="45"/>
      <c r="AC22" s="89">
        <v>1</v>
      </c>
      <c r="AD22" s="122">
        <v>1</v>
      </c>
      <c r="AE22" s="70">
        <v>1</v>
      </c>
      <c r="AF22" s="105">
        <v>1</v>
      </c>
      <c r="AG22" s="43"/>
      <c r="AH22" s="44"/>
      <c r="AI22" s="45"/>
      <c r="AJ22" s="89">
        <v>1</v>
      </c>
      <c r="AK22" s="122">
        <v>1</v>
      </c>
      <c r="AL22" s="70">
        <v>1</v>
      </c>
      <c r="AM22" s="105">
        <v>1</v>
      </c>
      <c r="AN22" s="43"/>
      <c r="AO22" s="44"/>
      <c r="AP22" s="45"/>
      <c r="AQ22" s="89">
        <v>1</v>
      </c>
      <c r="AR22" s="122">
        <v>1</v>
      </c>
      <c r="AS22" s="70">
        <v>1</v>
      </c>
      <c r="AT22" s="105">
        <v>1</v>
      </c>
      <c r="AU22" s="43"/>
      <c r="AV22" s="44"/>
    </row>
    <row r="23" spans="1:48" ht="14.25" customHeight="1" x14ac:dyDescent="0.3">
      <c r="A23" s="3"/>
      <c r="B23" s="1">
        <v>0.66666666666666696</v>
      </c>
      <c r="C23" s="1">
        <v>0.70833333333333304</v>
      </c>
      <c r="D23" s="89"/>
      <c r="E23" s="122"/>
      <c r="F23" s="105"/>
      <c r="G23" s="44"/>
      <c r="H23" s="45"/>
      <c r="I23" s="89"/>
      <c r="J23" s="122"/>
      <c r="K23" s="105"/>
      <c r="L23" s="43"/>
      <c r="M23" s="44"/>
      <c r="N23" s="45"/>
      <c r="O23" s="89"/>
      <c r="P23" s="122"/>
      <c r="Q23" s="43"/>
      <c r="R23" s="41"/>
      <c r="S23" s="105"/>
      <c r="T23" s="44"/>
      <c r="U23" s="45"/>
      <c r="V23" s="89">
        <v>1</v>
      </c>
      <c r="W23" s="122">
        <v>1</v>
      </c>
      <c r="X23" s="70">
        <v>1</v>
      </c>
      <c r="Y23" s="105">
        <v>1</v>
      </c>
      <c r="Z23" s="43"/>
      <c r="AA23" s="44"/>
      <c r="AB23" s="45"/>
      <c r="AC23" s="89">
        <v>1</v>
      </c>
      <c r="AD23" s="122">
        <v>1</v>
      </c>
      <c r="AE23" s="70">
        <v>1</v>
      </c>
      <c r="AF23" s="105">
        <v>1</v>
      </c>
      <c r="AG23" s="43"/>
      <c r="AH23" s="44"/>
      <c r="AI23" s="45"/>
      <c r="AJ23" s="89">
        <v>1</v>
      </c>
      <c r="AK23" s="122">
        <v>1</v>
      </c>
      <c r="AL23" s="70">
        <v>1</v>
      </c>
      <c r="AM23" s="105">
        <v>1</v>
      </c>
      <c r="AN23" s="43"/>
      <c r="AO23" s="44"/>
      <c r="AP23" s="45"/>
      <c r="AQ23" s="89">
        <v>1</v>
      </c>
      <c r="AR23" s="122">
        <v>1</v>
      </c>
      <c r="AS23" s="70">
        <v>1</v>
      </c>
      <c r="AT23" s="105">
        <v>1</v>
      </c>
      <c r="AU23" s="43"/>
      <c r="AV23" s="44"/>
    </row>
    <row r="24" spans="1:48" x14ac:dyDescent="0.3">
      <c r="B24" s="1">
        <v>0.70833333333333337</v>
      </c>
      <c r="C24" s="1">
        <v>0.75</v>
      </c>
      <c r="D24" s="89"/>
      <c r="E24" s="122"/>
      <c r="F24" s="105"/>
      <c r="G24" s="44"/>
      <c r="H24" s="45"/>
      <c r="I24" s="89"/>
      <c r="J24" s="122"/>
      <c r="K24" s="105"/>
      <c r="L24" s="43"/>
      <c r="M24" s="44"/>
      <c r="N24" s="45"/>
      <c r="O24" s="89"/>
      <c r="P24" s="122"/>
      <c r="Q24" s="43"/>
      <c r="R24" s="41"/>
      <c r="S24" s="105"/>
      <c r="T24" s="44"/>
      <c r="U24" s="45"/>
      <c r="V24" s="89">
        <v>1</v>
      </c>
      <c r="W24" s="122">
        <v>1</v>
      </c>
      <c r="X24" s="70">
        <v>1</v>
      </c>
      <c r="Y24" s="105">
        <v>1</v>
      </c>
      <c r="Z24" s="43"/>
      <c r="AA24" s="44"/>
      <c r="AB24" s="45"/>
      <c r="AC24" s="89">
        <v>1</v>
      </c>
      <c r="AD24" s="122">
        <v>1</v>
      </c>
      <c r="AE24" s="70">
        <v>1</v>
      </c>
      <c r="AF24" s="105">
        <v>1</v>
      </c>
      <c r="AG24" s="43"/>
      <c r="AH24" s="44"/>
      <c r="AI24" s="45"/>
      <c r="AJ24" s="89">
        <v>1</v>
      </c>
      <c r="AK24" s="122">
        <v>1</v>
      </c>
      <c r="AL24" s="70">
        <v>1</v>
      </c>
      <c r="AM24" s="105">
        <v>1</v>
      </c>
      <c r="AN24" s="43"/>
      <c r="AO24" s="44"/>
      <c r="AP24" s="45"/>
      <c r="AQ24" s="89">
        <v>1</v>
      </c>
      <c r="AR24" s="122">
        <v>1</v>
      </c>
      <c r="AS24" s="70">
        <v>1</v>
      </c>
      <c r="AT24" s="105">
        <v>1</v>
      </c>
      <c r="AU24" s="43"/>
      <c r="AV24" s="44"/>
    </row>
    <row r="25" spans="1:48" x14ac:dyDescent="0.3">
      <c r="A25" s="3"/>
      <c r="B25" s="1">
        <v>0.75</v>
      </c>
      <c r="C25" s="1">
        <v>0.79166666666666696</v>
      </c>
      <c r="D25" s="89"/>
      <c r="E25" s="122"/>
      <c r="F25" s="105"/>
      <c r="G25" s="44"/>
      <c r="H25" s="45"/>
      <c r="I25" s="89"/>
      <c r="J25" s="122"/>
      <c r="K25" s="105"/>
      <c r="L25" s="43"/>
      <c r="M25" s="44"/>
      <c r="N25" s="45"/>
      <c r="O25" s="89"/>
      <c r="P25" s="122"/>
      <c r="Q25" s="43"/>
      <c r="R25" s="41"/>
      <c r="S25" s="105"/>
      <c r="T25" s="44"/>
      <c r="U25" s="45"/>
      <c r="V25" s="89">
        <v>1</v>
      </c>
      <c r="W25" s="122">
        <v>1</v>
      </c>
      <c r="X25" s="70">
        <v>1</v>
      </c>
      <c r="Y25" s="105">
        <v>1</v>
      </c>
      <c r="Z25" s="43"/>
      <c r="AA25" s="44"/>
      <c r="AB25" s="45"/>
      <c r="AC25" s="89">
        <v>1</v>
      </c>
      <c r="AD25" s="122">
        <v>1</v>
      </c>
      <c r="AE25" s="70">
        <v>1</v>
      </c>
      <c r="AF25" s="105">
        <v>1</v>
      </c>
      <c r="AG25" s="43"/>
      <c r="AH25" s="44"/>
      <c r="AI25" s="45"/>
      <c r="AJ25" s="89">
        <v>1</v>
      </c>
      <c r="AK25" s="122">
        <v>1</v>
      </c>
      <c r="AL25" s="70">
        <v>1</v>
      </c>
      <c r="AM25" s="105">
        <v>1</v>
      </c>
      <c r="AN25" s="43"/>
      <c r="AO25" s="44"/>
      <c r="AP25" s="45"/>
      <c r="AQ25" s="89">
        <v>1</v>
      </c>
      <c r="AR25" s="122">
        <v>1</v>
      </c>
      <c r="AS25" s="70">
        <v>1</v>
      </c>
      <c r="AT25" s="105">
        <v>1</v>
      </c>
      <c r="AU25" s="43"/>
      <c r="AV25" s="44"/>
    </row>
    <row r="26" spans="1:48" x14ac:dyDescent="0.3">
      <c r="A26" s="3"/>
      <c r="B26" s="1">
        <v>0.79166666666666696</v>
      </c>
      <c r="C26" s="1">
        <v>0.83333333333333304</v>
      </c>
      <c r="D26" s="89"/>
      <c r="E26" s="122"/>
      <c r="F26" s="105"/>
      <c r="G26" s="44"/>
      <c r="H26" s="45"/>
      <c r="I26" s="89"/>
      <c r="J26" s="122"/>
      <c r="K26" s="105"/>
      <c r="L26" s="43"/>
      <c r="M26" s="44"/>
      <c r="N26" s="45"/>
      <c r="O26" s="89"/>
      <c r="P26" s="122"/>
      <c r="Q26" s="43"/>
      <c r="R26" s="41"/>
      <c r="S26" s="105"/>
      <c r="T26" s="44"/>
      <c r="U26" s="45"/>
      <c r="V26" s="89"/>
      <c r="W26" s="122"/>
      <c r="X26" s="70"/>
      <c r="Y26" s="105"/>
      <c r="Z26" s="43"/>
      <c r="AA26" s="44"/>
      <c r="AB26" s="45"/>
      <c r="AC26" s="89"/>
      <c r="AD26" s="122"/>
      <c r="AE26" s="70"/>
      <c r="AF26" s="105"/>
      <c r="AG26" s="43"/>
      <c r="AH26" s="44"/>
      <c r="AI26" s="45"/>
      <c r="AJ26" s="89">
        <v>1</v>
      </c>
      <c r="AK26" s="122">
        <v>1</v>
      </c>
      <c r="AL26" s="70">
        <v>1</v>
      </c>
      <c r="AM26" s="105">
        <v>1</v>
      </c>
      <c r="AN26" s="43"/>
      <c r="AO26" s="44"/>
      <c r="AP26" s="45"/>
      <c r="AQ26" s="89">
        <v>1</v>
      </c>
      <c r="AR26" s="122">
        <v>1</v>
      </c>
      <c r="AS26" s="70">
        <v>1</v>
      </c>
      <c r="AT26" s="105"/>
      <c r="AU26" s="43"/>
      <c r="AV26" s="44"/>
    </row>
    <row r="27" spans="1:48" x14ac:dyDescent="0.3">
      <c r="A27" s="3"/>
      <c r="B27" s="1">
        <v>0.83333333333333337</v>
      </c>
      <c r="C27" s="1">
        <v>0.875</v>
      </c>
      <c r="D27" s="89"/>
      <c r="E27" s="122"/>
      <c r="F27" s="105"/>
      <c r="G27" s="44"/>
      <c r="H27" s="45"/>
      <c r="I27" s="89"/>
      <c r="J27" s="122"/>
      <c r="K27" s="105"/>
      <c r="L27" s="43"/>
      <c r="M27" s="44"/>
      <c r="N27" s="45"/>
      <c r="O27" s="89"/>
      <c r="P27" s="122"/>
      <c r="Q27" s="43"/>
      <c r="R27" s="41"/>
      <c r="S27" s="105"/>
      <c r="T27" s="44"/>
      <c r="U27" s="45"/>
      <c r="V27" s="89"/>
      <c r="W27" s="122"/>
      <c r="X27" s="70"/>
      <c r="Y27" s="105"/>
      <c r="Z27" s="43"/>
      <c r="AA27" s="44"/>
      <c r="AB27" s="45"/>
      <c r="AC27" s="89"/>
      <c r="AD27" s="122"/>
      <c r="AE27" s="70"/>
      <c r="AF27" s="105"/>
      <c r="AG27" s="43"/>
      <c r="AH27" s="44"/>
      <c r="AI27" s="45"/>
      <c r="AJ27" s="89">
        <v>1</v>
      </c>
      <c r="AK27" s="122">
        <v>1</v>
      </c>
      <c r="AL27" s="70">
        <v>1</v>
      </c>
      <c r="AM27" s="105"/>
      <c r="AN27" s="43"/>
      <c r="AO27" s="44"/>
      <c r="AP27" s="45"/>
      <c r="AQ27" s="89">
        <v>1</v>
      </c>
      <c r="AR27" s="122"/>
      <c r="AS27" s="70">
        <v>1</v>
      </c>
      <c r="AT27" s="105"/>
      <c r="AU27" s="43"/>
      <c r="AV27" s="44"/>
    </row>
    <row r="28" spans="1:48" x14ac:dyDescent="0.3">
      <c r="A28" s="3"/>
      <c r="B28" s="1">
        <v>0.875</v>
      </c>
      <c r="C28" s="1">
        <v>0.91666666666666696</v>
      </c>
      <c r="D28" s="89"/>
      <c r="E28" s="122"/>
      <c r="F28" s="105"/>
      <c r="G28" s="44"/>
      <c r="H28" s="45"/>
      <c r="I28" s="89"/>
      <c r="J28" s="122"/>
      <c r="K28" s="105"/>
      <c r="L28" s="43"/>
      <c r="M28" s="44"/>
      <c r="N28" s="45"/>
      <c r="O28" s="89"/>
      <c r="P28" s="122"/>
      <c r="Q28" s="43"/>
      <c r="R28" s="41"/>
      <c r="S28" s="105"/>
      <c r="T28" s="44"/>
      <c r="U28" s="45"/>
      <c r="V28" s="89"/>
      <c r="W28" s="122"/>
      <c r="X28" s="70"/>
      <c r="Y28" s="105"/>
      <c r="Z28" s="43"/>
      <c r="AA28" s="44"/>
      <c r="AB28" s="45"/>
      <c r="AC28" s="89"/>
      <c r="AD28" s="122"/>
      <c r="AE28" s="70"/>
      <c r="AF28" s="105"/>
      <c r="AG28" s="43"/>
      <c r="AI28" s="45"/>
      <c r="AJ28" s="89">
        <v>1</v>
      </c>
      <c r="AK28" s="122">
        <v>1</v>
      </c>
      <c r="AL28" s="70"/>
      <c r="AM28" s="105"/>
      <c r="AN28" s="43"/>
      <c r="AO28" s="44"/>
      <c r="AP28" s="45"/>
      <c r="AQ28" s="89">
        <v>1</v>
      </c>
      <c r="AR28" s="122"/>
      <c r="AS28" s="70">
        <v>1</v>
      </c>
      <c r="AT28" s="105"/>
      <c r="AU28" s="43"/>
      <c r="AV28" s="44"/>
    </row>
    <row r="29" spans="1:48" x14ac:dyDescent="0.3">
      <c r="A29" s="3"/>
      <c r="B29" s="31">
        <v>0.91666666666666596</v>
      </c>
      <c r="C29" s="31">
        <v>0.95833333333333404</v>
      </c>
      <c r="D29" s="13"/>
      <c r="E29" s="121"/>
      <c r="F29" s="104"/>
      <c r="G29" s="16"/>
      <c r="H29" s="17"/>
      <c r="I29" s="13"/>
      <c r="J29" s="121"/>
      <c r="K29" s="104"/>
      <c r="L29" s="9"/>
      <c r="M29" s="16"/>
      <c r="N29" s="17"/>
      <c r="O29" s="13"/>
      <c r="P29" s="121"/>
      <c r="Q29" s="43"/>
      <c r="R29" s="41"/>
      <c r="S29" s="104"/>
      <c r="T29" s="16"/>
      <c r="U29" s="17"/>
      <c r="V29" s="13"/>
      <c r="W29" s="121"/>
      <c r="X29" s="83"/>
      <c r="Y29" s="104"/>
      <c r="Z29" s="14"/>
      <c r="AA29" s="16"/>
      <c r="AB29" s="17"/>
      <c r="AC29" s="13"/>
      <c r="AD29" s="121"/>
      <c r="AE29" s="83"/>
      <c r="AF29" s="104"/>
      <c r="AG29" s="14"/>
      <c r="AH29" s="66"/>
      <c r="AI29" s="17"/>
      <c r="AJ29" s="13"/>
      <c r="AK29" s="121"/>
      <c r="AL29" s="83"/>
      <c r="AM29" s="104"/>
      <c r="AN29" s="9"/>
      <c r="AO29" s="16"/>
      <c r="AP29" s="17"/>
      <c r="AQ29" s="13"/>
      <c r="AR29" s="121"/>
      <c r="AS29" s="83"/>
      <c r="AT29" s="104"/>
      <c r="AU29" s="9"/>
      <c r="AV29" s="16"/>
    </row>
    <row r="30" spans="1:48" x14ac:dyDescent="0.3">
      <c r="A30" s="3"/>
      <c r="B30" s="31">
        <v>0.95833333333333304</v>
      </c>
      <c r="C30" s="31">
        <v>1</v>
      </c>
      <c r="D30" s="13"/>
      <c r="E30" s="121"/>
      <c r="F30" s="104"/>
      <c r="G30" s="16"/>
      <c r="H30" s="17"/>
      <c r="I30" s="13"/>
      <c r="J30" s="121"/>
      <c r="K30" s="104"/>
      <c r="L30" s="9"/>
      <c r="M30" s="16"/>
      <c r="N30" s="17"/>
      <c r="O30" s="13"/>
      <c r="P30" s="121"/>
      <c r="Q30" s="14"/>
      <c r="R30" s="11"/>
      <c r="S30" s="104"/>
      <c r="T30" s="16"/>
      <c r="U30" s="17"/>
      <c r="V30" s="13"/>
      <c r="W30" s="121"/>
      <c r="X30" s="83"/>
      <c r="Y30" s="104"/>
      <c r="Z30" s="14"/>
      <c r="AA30" s="16"/>
      <c r="AB30" s="17"/>
      <c r="AC30" s="13"/>
      <c r="AD30" s="121"/>
      <c r="AE30" s="83"/>
      <c r="AF30" s="104"/>
      <c r="AG30" s="14"/>
      <c r="AH30" s="16"/>
      <c r="AI30" s="17"/>
      <c r="AJ30" s="13"/>
      <c r="AK30" s="121"/>
      <c r="AL30" s="83"/>
      <c r="AM30" s="104"/>
      <c r="AN30" s="9"/>
      <c r="AO30" s="16"/>
      <c r="AP30" s="17"/>
      <c r="AQ30" s="13"/>
      <c r="AR30" s="121"/>
      <c r="AS30" s="83"/>
      <c r="AT30" s="104"/>
      <c r="AU30" s="9"/>
      <c r="AV30" s="16"/>
    </row>
    <row r="31" spans="1:48" x14ac:dyDescent="0.3">
      <c r="A31" s="3"/>
      <c r="Y31" s="123"/>
    </row>
    <row r="32" spans="1:48" customFormat="1" x14ac:dyDescent="0.3">
      <c r="A32" s="21"/>
      <c r="D32" s="171" t="str">
        <f>CONCATENATE("Lunes ",TEXT(DAY(C5),"00"))</f>
        <v>Lunes 24</v>
      </c>
      <c r="E32" s="171"/>
      <c r="F32" s="171"/>
      <c r="G32" s="171"/>
      <c r="I32" s="171" t="str">
        <f>CONCATENATE("Martes ",TEXT(DAY(C5+1),"00"))</f>
        <v>Martes 25</v>
      </c>
      <c r="J32" s="171"/>
      <c r="K32" s="171"/>
      <c r="L32" s="171"/>
      <c r="M32" s="171"/>
      <c r="O32" s="171" t="str">
        <f>CONCATENATE("Miercoles ",TEXT(DAY(C5+2),"00"))</f>
        <v>Miercoles 26</v>
      </c>
      <c r="P32" s="171"/>
      <c r="Q32" s="171"/>
      <c r="R32" s="171"/>
      <c r="S32" s="171"/>
      <c r="T32" s="171"/>
      <c r="V32" s="171" t="str">
        <f>CONCATENATE("Jueves ",TEXT(DAY(C5+3),"00"))</f>
        <v>Jueves 27</v>
      </c>
      <c r="W32" s="171"/>
      <c r="X32" s="171"/>
      <c r="Y32" s="171"/>
      <c r="Z32" s="171"/>
      <c r="AA32" s="171"/>
      <c r="AC32" s="171" t="str">
        <f>CONCATENATE("Viernes ",TEXT(DAY(C5+4),"00"))</f>
        <v>Viernes 28</v>
      </c>
      <c r="AD32" s="171"/>
      <c r="AE32" s="171"/>
      <c r="AF32" s="171"/>
      <c r="AG32" s="171"/>
      <c r="AH32" s="171"/>
      <c r="AJ32" s="171" t="s">
        <v>29</v>
      </c>
      <c r="AK32" s="171"/>
      <c r="AL32" s="171"/>
      <c r="AM32" s="171"/>
      <c r="AN32" s="171"/>
      <c r="AO32" s="171"/>
      <c r="AQ32" s="171" t="str">
        <f>CONCATENATE("Domingo ",TEXT(DAY(C5+6),"00"))</f>
        <v>Domingo 30</v>
      </c>
      <c r="AR32" s="171"/>
      <c r="AS32" s="171"/>
      <c r="AT32" s="171"/>
      <c r="AU32" s="171"/>
      <c r="AV32" s="171"/>
    </row>
    <row r="33" spans="1:48" customFormat="1" ht="75" customHeight="1" x14ac:dyDescent="0.3">
      <c r="A33" s="21"/>
      <c r="D33" s="119"/>
      <c r="E33" s="120"/>
      <c r="F33" s="103"/>
      <c r="G33" s="25">
        <f>+G6</f>
        <v>0</v>
      </c>
      <c r="I33" s="119"/>
      <c r="J33" s="120"/>
      <c r="K33" s="103"/>
      <c r="L33" s="91">
        <f t="shared" ref="L33" si="0">+L6</f>
        <v>0</v>
      </c>
      <c r="M33" s="25">
        <f>+M6</f>
        <v>0</v>
      </c>
      <c r="O33" s="127" t="str">
        <f t="shared" ref="O33:R33" si="1">+O6</f>
        <v>CLAUDIA</v>
      </c>
      <c r="P33" s="125" t="str">
        <f t="shared" si="1"/>
        <v>FAVIA</v>
      </c>
      <c r="Q33" s="91">
        <f t="shared" si="1"/>
        <v>0</v>
      </c>
      <c r="R33" s="91">
        <f t="shared" si="1"/>
        <v>0</v>
      </c>
      <c r="S33" s="103" t="str">
        <f>S6</f>
        <v>DANNA</v>
      </c>
      <c r="T33" s="25">
        <f>+T6</f>
        <v>0</v>
      </c>
      <c r="V33" s="127" t="str">
        <f t="shared" ref="V33:AA33" si="2">+V6</f>
        <v>CLAUDIA</v>
      </c>
      <c r="W33" s="125" t="str">
        <f t="shared" si="2"/>
        <v>FAVIA</v>
      </c>
      <c r="X33" s="99" t="str">
        <f t="shared" si="2"/>
        <v>MARIA</v>
      </c>
      <c r="Y33" s="129" t="str">
        <f t="shared" si="2"/>
        <v>DANNA</v>
      </c>
      <c r="Z33" s="91">
        <f t="shared" si="2"/>
        <v>0</v>
      </c>
      <c r="AA33" s="25">
        <f t="shared" si="2"/>
        <v>0</v>
      </c>
      <c r="AC33" s="127" t="str">
        <f t="shared" ref="AC33:AH33" si="3">+AC6</f>
        <v>CLAUDIA</v>
      </c>
      <c r="AD33" s="125" t="str">
        <f t="shared" si="3"/>
        <v>FAVIA</v>
      </c>
      <c r="AE33" s="99" t="str">
        <f t="shared" si="3"/>
        <v>MARIA</v>
      </c>
      <c r="AF33" s="129" t="str">
        <f t="shared" si="3"/>
        <v>DANNA</v>
      </c>
      <c r="AG33" s="91">
        <f t="shared" si="3"/>
        <v>0</v>
      </c>
      <c r="AH33" s="25">
        <f t="shared" si="3"/>
        <v>0</v>
      </c>
      <c r="AJ33" s="127" t="str">
        <f>AJ6</f>
        <v>CLAUDIA</v>
      </c>
      <c r="AK33" s="125" t="str">
        <f>AK6</f>
        <v>FAVIA</v>
      </c>
      <c r="AL33" s="99" t="str">
        <f>AL6</f>
        <v>MARIA</v>
      </c>
      <c r="AM33" s="129" t="str">
        <f>AM6</f>
        <v>DANNA</v>
      </c>
      <c r="AN33" s="101"/>
      <c r="AO33" s="25"/>
      <c r="AQ33" s="127" t="str">
        <f>+AQ6</f>
        <v>CLAUDIA</v>
      </c>
      <c r="AR33" s="125" t="str">
        <f>+AR6</f>
        <v>FAVIA</v>
      </c>
      <c r="AS33" s="99" t="str">
        <f>+AS6</f>
        <v>MARIA</v>
      </c>
      <c r="AT33" s="129" t="str">
        <f>+AT6</f>
        <v>DANNA</v>
      </c>
      <c r="AU33" s="90">
        <f t="shared" ref="AU33:AV33" si="4">+AU6</f>
        <v>0</v>
      </c>
      <c r="AV33" s="90">
        <f t="shared" si="4"/>
        <v>0</v>
      </c>
    </row>
    <row r="34" spans="1:48" s="34" customFormat="1" ht="16.5" customHeight="1" x14ac:dyDescent="0.3">
      <c r="A34" s="33"/>
      <c r="C34" s="97" t="s">
        <v>9</v>
      </c>
      <c r="D34" s="119"/>
      <c r="E34" s="120"/>
      <c r="F34" s="103"/>
      <c r="G34" s="38">
        <f t="shared" ref="G34" si="5">SUM(G7:G30)</f>
        <v>0</v>
      </c>
      <c r="I34" s="119"/>
      <c r="J34" s="120"/>
      <c r="K34" s="103"/>
      <c r="L34" s="94">
        <f t="shared" ref="L34:M34" si="6">SUM(L7:L30)</f>
        <v>0</v>
      </c>
      <c r="M34" s="38">
        <f t="shared" si="6"/>
        <v>0</v>
      </c>
      <c r="O34" s="128">
        <f>SUM(O7:O30)</f>
        <v>0</v>
      </c>
      <c r="P34" s="126">
        <f t="shared" ref="P34:T34" si="7">SUM(P7:P30)</f>
        <v>0</v>
      </c>
      <c r="Q34" s="102">
        <f t="shared" si="7"/>
        <v>0</v>
      </c>
      <c r="R34" s="102">
        <f t="shared" si="7"/>
        <v>0</v>
      </c>
      <c r="S34" s="106">
        <f t="shared" si="7"/>
        <v>0</v>
      </c>
      <c r="T34" s="38">
        <f t="shared" si="7"/>
        <v>0</v>
      </c>
      <c r="V34" s="128">
        <f>SUM(V7:V30)</f>
        <v>8</v>
      </c>
      <c r="W34" s="126">
        <f t="shared" ref="W34:AA34" si="8">SUM(W7:W30)</f>
        <v>8</v>
      </c>
      <c r="X34" s="100">
        <f t="shared" ref="X34" si="9">SUM(X7:X30)</f>
        <v>6</v>
      </c>
      <c r="Y34" s="106">
        <f t="shared" si="8"/>
        <v>8</v>
      </c>
      <c r="Z34" s="94">
        <f t="shared" si="8"/>
        <v>0</v>
      </c>
      <c r="AA34" s="38">
        <f t="shared" si="8"/>
        <v>0</v>
      </c>
      <c r="AC34" s="128">
        <f>SUM(AC7:AC30)</f>
        <v>8</v>
      </c>
      <c r="AD34" s="126">
        <f t="shared" ref="AD34:AH34" si="10">SUM(AD7:AD30)</f>
        <v>8</v>
      </c>
      <c r="AE34" s="100">
        <f t="shared" ref="AE34" si="11">SUM(AE7:AE30)</f>
        <v>8</v>
      </c>
      <c r="AF34" s="106">
        <f t="shared" si="10"/>
        <v>8</v>
      </c>
      <c r="AG34" s="94">
        <f t="shared" si="10"/>
        <v>0</v>
      </c>
      <c r="AH34" s="38">
        <f t="shared" si="10"/>
        <v>0</v>
      </c>
      <c r="AJ34" s="128">
        <f>SUM(AJ7:AJ30)</f>
        <v>8</v>
      </c>
      <c r="AK34" s="126">
        <f t="shared" ref="AK34:AO34" si="12">SUM(AK7:AK30)</f>
        <v>8</v>
      </c>
      <c r="AL34" s="100">
        <f t="shared" ref="AL34" si="13">SUM(AL7:AL30)</f>
        <v>8</v>
      </c>
      <c r="AM34" s="106">
        <f t="shared" si="12"/>
        <v>10</v>
      </c>
      <c r="AN34" s="102">
        <f t="shared" si="12"/>
        <v>0</v>
      </c>
      <c r="AO34" s="38">
        <f t="shared" si="12"/>
        <v>0</v>
      </c>
      <c r="AQ34" s="128">
        <f>SUM(AQ7:AQ30)</f>
        <v>8</v>
      </c>
      <c r="AR34" s="126">
        <f t="shared" ref="AR34:AV34" si="14">SUM(AR7:AR30)</f>
        <v>8</v>
      </c>
      <c r="AS34" s="100">
        <f t="shared" ref="AS34" si="15">SUM(AS7:AS30)</f>
        <v>8</v>
      </c>
      <c r="AT34" s="106">
        <f t="shared" si="14"/>
        <v>8</v>
      </c>
      <c r="AU34" s="94">
        <f t="shared" si="14"/>
        <v>0</v>
      </c>
      <c r="AV34" s="38">
        <f t="shared" si="14"/>
        <v>0</v>
      </c>
    </row>
    <row r="35" spans="1:48" s="27" customFormat="1" ht="11.25" hidden="1" customHeight="1" x14ac:dyDescent="0.2">
      <c r="A35" s="26"/>
      <c r="C35" s="165" t="s">
        <v>10</v>
      </c>
      <c r="D35" s="166" t="str">
        <f>+_xlfn.CONCAT(IF(AND(D14=0.5,D15=0.5),"8:30 AM - 9:30 AM",IF(AND(D14=0.5,D15=0.5,COUNT(D16:D17)&lt;2),"8:30 AM - 9:30 AM",""))," Y ",IF(SUM(D15:D30)&gt;=7.5,"",""))</f>
        <v xml:space="preserve"> Y </v>
      </c>
      <c r="E35" s="160" t="str">
        <f t="shared" ref="E35" si="16">+IF(AND(E14=0.5,E15=0.5),"8:30 AM - 9:30 AM","")</f>
        <v/>
      </c>
      <c r="F35" s="113"/>
      <c r="G35" s="176" t="str">
        <f>+IF(AND(G14=0.5,G15=0.5),"8:30 AM - 9:30 AM","")</f>
        <v/>
      </c>
      <c r="H35" s="30"/>
      <c r="I35" s="159"/>
      <c r="J35" s="160"/>
      <c r="K35" s="157"/>
      <c r="L35" s="168"/>
      <c r="M35" s="148"/>
      <c r="N35" s="30"/>
      <c r="O35" s="159"/>
      <c r="P35" s="160"/>
      <c r="Q35" s="158"/>
      <c r="R35" s="157"/>
      <c r="S35" s="112"/>
      <c r="T35" s="148"/>
      <c r="U35" s="30"/>
      <c r="V35" s="159"/>
      <c r="W35" s="160"/>
      <c r="X35" s="115"/>
      <c r="Y35" s="157"/>
      <c r="Z35" s="158"/>
      <c r="AA35" s="148"/>
      <c r="AB35" s="30"/>
      <c r="AC35" s="159"/>
      <c r="AD35" s="160"/>
      <c r="AE35" s="115"/>
      <c r="AF35" s="157"/>
      <c r="AG35" s="158"/>
      <c r="AH35" s="148"/>
      <c r="AI35" s="30"/>
      <c r="AJ35" s="159"/>
      <c r="AK35" s="160"/>
      <c r="AL35" s="115"/>
      <c r="AM35" s="157"/>
      <c r="AN35" s="158"/>
      <c r="AO35" s="148"/>
      <c r="AP35" s="30"/>
      <c r="AQ35" s="159"/>
      <c r="AR35" s="160"/>
      <c r="AS35" s="115"/>
      <c r="AT35" s="157"/>
      <c r="AU35" s="158"/>
      <c r="AV35" s="148"/>
    </row>
    <row r="36" spans="1:48" ht="15" hidden="1" customHeight="1" thickBot="1" x14ac:dyDescent="0.35">
      <c r="A36" s="3"/>
      <c r="C36" s="165"/>
      <c r="D36" s="167"/>
      <c r="E36" s="160"/>
      <c r="F36" s="114"/>
      <c r="G36" s="177"/>
      <c r="H36" s="28"/>
      <c r="I36" s="159"/>
      <c r="J36" s="160"/>
      <c r="K36" s="157"/>
      <c r="L36" s="169"/>
      <c r="M36" s="148"/>
      <c r="N36" s="28"/>
      <c r="O36" s="159"/>
      <c r="P36" s="160"/>
      <c r="Q36" s="158"/>
      <c r="R36" s="157"/>
      <c r="S36" s="112"/>
      <c r="T36" s="148"/>
      <c r="U36" s="28"/>
      <c r="V36" s="159"/>
      <c r="W36" s="160"/>
      <c r="X36" s="115"/>
      <c r="Y36" s="157"/>
      <c r="Z36" s="158"/>
      <c r="AA36" s="148"/>
      <c r="AB36" s="28"/>
      <c r="AC36" s="159"/>
      <c r="AD36" s="160"/>
      <c r="AE36" s="115"/>
      <c r="AF36" s="157"/>
      <c r="AG36" s="158"/>
      <c r="AH36" s="148"/>
      <c r="AI36" s="28"/>
      <c r="AJ36" s="159"/>
      <c r="AK36" s="160"/>
      <c r="AL36" s="115"/>
      <c r="AM36" s="157"/>
      <c r="AN36" s="158"/>
      <c r="AO36" s="148"/>
      <c r="AP36" s="28"/>
      <c r="AQ36" s="159"/>
      <c r="AR36" s="160"/>
      <c r="AS36" s="115"/>
      <c r="AT36" s="157"/>
      <c r="AU36" s="158"/>
      <c r="AV36" s="148"/>
    </row>
    <row r="37" spans="1:48" ht="15" thickBot="1" x14ac:dyDescent="0.35">
      <c r="A37" s="3"/>
      <c r="D37" s="18"/>
      <c r="E37" s="18"/>
      <c r="F37" s="18"/>
      <c r="G37" s="18"/>
      <c r="I37" s="18"/>
      <c r="J37" s="18"/>
      <c r="K37" s="92"/>
      <c r="L37" s="92"/>
      <c r="M37" s="18"/>
      <c r="O37" s="18"/>
      <c r="P37" s="18"/>
      <c r="Q37" s="18"/>
      <c r="R37" s="18"/>
      <c r="S37" s="18"/>
      <c r="T37" s="18"/>
      <c r="V37" s="18"/>
      <c r="W37" s="18"/>
      <c r="X37" s="18"/>
      <c r="Y37" s="18"/>
      <c r="Z37" s="18"/>
      <c r="AA37" s="18"/>
      <c r="AC37" s="18"/>
      <c r="AD37" s="18"/>
      <c r="AE37" s="18"/>
      <c r="AF37" s="18"/>
      <c r="AG37" s="18"/>
      <c r="AH37" s="18"/>
      <c r="AJ37" s="18"/>
      <c r="AK37" s="18"/>
      <c r="AL37" s="18"/>
      <c r="AM37" s="18"/>
      <c r="AN37" s="18"/>
      <c r="AO37" s="18"/>
      <c r="AQ37" s="18"/>
      <c r="AR37" s="18"/>
      <c r="AS37" s="18"/>
      <c r="AT37" s="18"/>
      <c r="AU37" s="18"/>
      <c r="AV37" s="18"/>
    </row>
    <row r="38" spans="1:48" x14ac:dyDescent="0.3">
      <c r="A38" s="3"/>
      <c r="B38" s="149" t="s">
        <v>3</v>
      </c>
      <c r="C38" s="150"/>
      <c r="D38" s="150"/>
      <c r="E38" s="150"/>
      <c r="F38" s="95"/>
      <c r="G38" s="96"/>
      <c r="H38" s="151" t="s">
        <v>4</v>
      </c>
      <c r="I38" s="152"/>
      <c r="J38" s="152"/>
      <c r="K38" s="109"/>
      <c r="L38" s="107"/>
      <c r="M38" s="107"/>
      <c r="N38" s="107"/>
      <c r="O38" s="107"/>
      <c r="P38" s="107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</row>
    <row r="39" spans="1:48" ht="15" customHeight="1" x14ac:dyDescent="0.3">
      <c r="A39" s="3"/>
      <c r="B39" s="153" t="str">
        <f>O33</f>
        <v>CLAUDIA</v>
      </c>
      <c r="C39" s="154"/>
      <c r="D39" s="154"/>
      <c r="E39" s="154"/>
      <c r="F39" s="130" t="s">
        <v>24</v>
      </c>
      <c r="G39" s="155" t="s">
        <v>7</v>
      </c>
      <c r="H39" s="156"/>
      <c r="I39" s="156"/>
      <c r="J39" s="156"/>
      <c r="K39" s="110">
        <f>D34+I34+O34+V34+AC34+AJ34+AQ34</f>
        <v>32</v>
      </c>
      <c r="L39" s="108"/>
      <c r="M39" s="108"/>
      <c r="N39" s="108"/>
      <c r="O39" s="108"/>
      <c r="P39" s="108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</row>
    <row r="40" spans="1:48" ht="15" customHeight="1" x14ac:dyDescent="0.3">
      <c r="A40" s="3"/>
      <c r="B40" s="161" t="str">
        <f>W33</f>
        <v>FAVIA</v>
      </c>
      <c r="C40" s="162"/>
      <c r="D40" s="162"/>
      <c r="E40" s="162"/>
      <c r="F40" s="131" t="s">
        <v>24</v>
      </c>
      <c r="G40" s="163" t="s">
        <v>8</v>
      </c>
      <c r="H40" s="164"/>
      <c r="I40" s="164"/>
      <c r="J40" s="164"/>
      <c r="K40" s="110">
        <f>E34+J34+P34+W34+AD34+AK34+AR34</f>
        <v>32</v>
      </c>
      <c r="L40" s="108"/>
      <c r="M40" s="108"/>
      <c r="N40" s="108"/>
      <c r="O40" s="108"/>
      <c r="P40" s="108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</row>
    <row r="41" spans="1:48" ht="15" customHeight="1" x14ac:dyDescent="0.3">
      <c r="A41" s="3"/>
      <c r="B41" s="140" t="str">
        <f>AF33</f>
        <v>DANNA</v>
      </c>
      <c r="C41" s="141"/>
      <c r="D41" s="141"/>
      <c r="E41" s="141"/>
      <c r="F41" s="132" t="s">
        <v>24</v>
      </c>
      <c r="G41" s="142" t="s">
        <v>6</v>
      </c>
      <c r="H41" s="143"/>
      <c r="I41" s="143"/>
      <c r="J41" s="143"/>
      <c r="K41" s="133">
        <f>F34+K34+S34+Y34+AF34+AM34+AT34</f>
        <v>34</v>
      </c>
      <c r="L41" s="108"/>
      <c r="M41" s="108"/>
      <c r="N41" s="108"/>
      <c r="O41" s="108"/>
      <c r="P41" s="108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</row>
    <row r="42" spans="1:48" x14ac:dyDescent="0.3">
      <c r="B42" s="144" t="str">
        <f>X33</f>
        <v>MARIA</v>
      </c>
      <c r="C42" s="145"/>
      <c r="D42" s="145"/>
      <c r="E42" s="145"/>
      <c r="F42" s="134" t="s">
        <v>24</v>
      </c>
      <c r="G42" s="146" t="s">
        <v>6</v>
      </c>
      <c r="H42" s="147"/>
      <c r="I42" s="147"/>
      <c r="J42" s="147"/>
      <c r="K42" s="135">
        <f>X34+AE34+AL34+AS34</f>
        <v>30</v>
      </c>
      <c r="L42" s="108"/>
      <c r="M42" s="108"/>
      <c r="N42" s="108"/>
      <c r="O42" s="108"/>
      <c r="P42" s="108"/>
    </row>
  </sheetData>
  <sheetProtection selectLockedCells="1"/>
  <mergeCells count="57">
    <mergeCell ref="E35:E36"/>
    <mergeCell ref="G35:G36"/>
    <mergeCell ref="D2:AU2"/>
    <mergeCell ref="D32:G32"/>
    <mergeCell ref="I32:M32"/>
    <mergeCell ref="O32:T32"/>
    <mergeCell ref="V32:AA32"/>
    <mergeCell ref="AC32:AH32"/>
    <mergeCell ref="AJ32:AO32"/>
    <mergeCell ref="AQ32:AV32"/>
    <mergeCell ref="I5:K5"/>
    <mergeCell ref="O5:S5"/>
    <mergeCell ref="D5:F5"/>
    <mergeCell ref="AB3:AI4"/>
    <mergeCell ref="D3:H4"/>
    <mergeCell ref="J35:J36"/>
    <mergeCell ref="K35:K36"/>
    <mergeCell ref="AR35:AR36"/>
    <mergeCell ref="AH35:AH36"/>
    <mergeCell ref="AJ35:AJ36"/>
    <mergeCell ref="AK35:AK36"/>
    <mergeCell ref="AM35:AM36"/>
    <mergeCell ref="AN35:AN36"/>
    <mergeCell ref="M35:M36"/>
    <mergeCell ref="L35:L36"/>
    <mergeCell ref="B40:E40"/>
    <mergeCell ref="G40:J40"/>
    <mergeCell ref="AO35:AO36"/>
    <mergeCell ref="AQ35:AQ36"/>
    <mergeCell ref="AA35:AA36"/>
    <mergeCell ref="AC35:AC36"/>
    <mergeCell ref="AD35:AD36"/>
    <mergeCell ref="AF35:AF36"/>
    <mergeCell ref="AG35:AG36"/>
    <mergeCell ref="O35:O36"/>
    <mergeCell ref="P35:P36"/>
    <mergeCell ref="Q35:Q36"/>
    <mergeCell ref="R35:R36"/>
    <mergeCell ref="C35:C36"/>
    <mergeCell ref="D35:D36"/>
    <mergeCell ref="I35:I36"/>
    <mergeCell ref="B41:E41"/>
    <mergeCell ref="G41:J41"/>
    <mergeCell ref="B42:E42"/>
    <mergeCell ref="G42:J42"/>
    <mergeCell ref="AV35:AV36"/>
    <mergeCell ref="B38:E38"/>
    <mergeCell ref="H38:J38"/>
    <mergeCell ref="B39:E39"/>
    <mergeCell ref="G39:J39"/>
    <mergeCell ref="AT35:AT36"/>
    <mergeCell ref="AU35:AU36"/>
    <mergeCell ref="T35:T36"/>
    <mergeCell ref="V35:V36"/>
    <mergeCell ref="W35:W36"/>
    <mergeCell ref="Y35:Y36"/>
    <mergeCell ref="Z35:Z36"/>
  </mergeCells>
  <conditionalFormatting sqref="O29:P29 L15 Z15 AG15 AN15 D7:G14 D29:G30 I7:M14 I29:M30 S29:T29 O7:T14 O30:T30 V7:AA14 V29:AA30 AC7:AH14 AC29:AH30 AJ7:AO14 AJ29:AO30 AQ7:AV14 AQ29:AV30 D15:F16 I15:K16 O15:S15 AQ15:AU16 O16:T16">
    <cfRule type="expression" dxfId="25" priority="12">
      <formula>IF(OR(D7=0,D7=""),TRUE(),FALSE())</formula>
    </cfRule>
  </conditionalFormatting>
  <conditionalFormatting sqref="T15 AA15:AA16 AO15:AO16 AV15:AV16 AH29 Q29:R29 G15:G28 AN16 Z16 AH15:AH27 I17:L19 D17:F28 M15:M19 I20:M28 O17:T28 L16 AG16 V17:AA28 AC17:AG28 AJ17:AO28 AQ17:AV28">
    <cfRule type="expression" dxfId="24" priority="11">
      <formula>IF(OR(D15=0,D15=""),TRUE(),FALSE())</formula>
    </cfRule>
  </conditionalFormatting>
  <conditionalFormatting sqref="V15:Y16">
    <cfRule type="expression" dxfId="23" priority="3">
      <formula>IF(OR(V15=0,V15=""),TRUE(),FALSE())</formula>
    </cfRule>
  </conditionalFormatting>
  <conditionalFormatting sqref="AC15:AF16">
    <cfRule type="expression" dxfId="22" priority="2">
      <formula>IF(OR(AC15=0,AC15=""),TRUE(),FALSE())</formula>
    </cfRule>
  </conditionalFormatting>
  <conditionalFormatting sqref="AJ15:AM16">
    <cfRule type="expression" dxfId="21" priority="1">
      <formula>IF(OR(AJ15=0,AJ15=""),TRUE(),FALSE())</formula>
    </cfRule>
  </conditionalFormatting>
  <dataValidations count="1">
    <dataValidation type="list" allowBlank="1" showInputMessage="1" showErrorMessage="1" sqref="AH7:AH27 AJ7:AO30 AG7:AG28 V7:AA30 D7:G30 I7:M30 O7:T30 AG29:AH30 AC7:AF30 AQ7:AV30" xr:uid="{420C7F78-85C6-40EE-9B87-9B59BD101EDC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011AC-7865-4F40-83DC-A22EBDEDCF58}">
  <sheetPr codeName="Hoja13"/>
  <dimension ref="A1:AV42"/>
  <sheetViews>
    <sheetView showGridLines="0" tabSelected="1" topLeftCell="A21" zoomScale="91" zoomScaleNormal="90" zoomScaleSheetLayoutView="40" workbookViewId="0">
      <selection activeCell="AX38" sqref="AX38"/>
    </sheetView>
  </sheetViews>
  <sheetFormatPr baseColWidth="10" defaultColWidth="11.44140625" defaultRowHeight="14.4" x14ac:dyDescent="0.3"/>
  <cols>
    <col min="1" max="1" width="1.77734375" style="5" customWidth="1"/>
    <col min="2" max="3" width="12.6640625" style="5" customWidth="1"/>
    <col min="4" max="6" width="4.5546875" style="5" customWidth="1"/>
    <col min="7" max="7" width="5.44140625" style="5" hidden="1" customWidth="1"/>
    <col min="8" max="8" width="3.88671875" style="5" customWidth="1"/>
    <col min="9" max="9" width="4.5546875" style="5" customWidth="1"/>
    <col min="10" max="10" width="5.88671875" style="5" customWidth="1"/>
    <col min="11" max="11" width="4.6640625" style="5" customWidth="1"/>
    <col min="12" max="13" width="4.5546875" style="5" hidden="1" customWidth="1"/>
    <col min="14" max="14" width="3.88671875" style="5" customWidth="1"/>
    <col min="15" max="16" width="4.5546875" style="5" customWidth="1"/>
    <col min="17" max="18" width="4.5546875" style="5" hidden="1" customWidth="1"/>
    <col min="19" max="19" width="4.5546875" style="5" customWidth="1"/>
    <col min="20" max="20" width="4.5546875" style="5" hidden="1" customWidth="1"/>
    <col min="21" max="21" width="3.88671875" style="5" customWidth="1"/>
    <col min="22" max="25" width="4.5546875" style="5" customWidth="1"/>
    <col min="26" max="27" width="4.5546875" style="5" hidden="1" customWidth="1"/>
    <col min="28" max="28" width="3.88671875" style="5" customWidth="1"/>
    <col min="29" max="32" width="4.5546875" style="5" customWidth="1"/>
    <col min="33" max="34" width="4.5546875" style="5" hidden="1" customWidth="1"/>
    <col min="35" max="35" width="3.88671875" style="5" customWidth="1"/>
    <col min="36" max="39" width="4.5546875" style="5" customWidth="1"/>
    <col min="40" max="41" width="4.5546875" style="5" hidden="1" customWidth="1"/>
    <col min="42" max="42" width="3.88671875" style="5" customWidth="1"/>
    <col min="43" max="46" width="4.5546875" style="5" customWidth="1"/>
    <col min="47" max="48" width="4.5546875" style="5" hidden="1" customWidth="1"/>
    <col min="49" max="16384" width="11.44140625" style="5"/>
  </cols>
  <sheetData>
    <row r="1" spans="1:48" ht="18" x14ac:dyDescent="0.35">
      <c r="A1" s="2" t="e" cm="1">
        <f t="array" ref="A1">A1:AV38M &amp; B Vertical S.A.C.</f>
        <v>#NAME?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</row>
    <row r="2" spans="1:48" ht="45" customHeight="1" x14ac:dyDescent="0.3">
      <c r="A2" s="48" t="s">
        <v>1</v>
      </c>
      <c r="B2" s="7"/>
      <c r="C2" s="7"/>
      <c r="D2" s="170" t="str">
        <f>UPPER(CONCATENATE("HORARIO ",TEXT(DAY(C5),"00")," DE ",TEXT(C5,"mmmm")," AL ",TEXT(DAY(C5+6),"00")," DE ",TEXT(C5+6,"mmmm")))</f>
        <v>HORARIO 24 DE AGOSTO AL 30 DE AGOSTO</v>
      </c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  <c r="AJ2" s="170"/>
      <c r="AK2" s="170"/>
      <c r="AL2" s="170"/>
      <c r="AM2" s="170"/>
      <c r="AN2" s="170"/>
      <c r="AO2" s="170"/>
      <c r="AP2" s="170"/>
      <c r="AQ2" s="170"/>
      <c r="AR2" s="170"/>
      <c r="AS2" s="170"/>
      <c r="AT2" s="170"/>
      <c r="AU2" s="170"/>
      <c r="AV2" s="40"/>
    </row>
    <row r="3" spans="1:48" ht="15" customHeight="1" x14ac:dyDescent="0.3">
      <c r="A3" s="6"/>
      <c r="D3" s="175" t="s">
        <v>23</v>
      </c>
      <c r="E3" s="175"/>
      <c r="F3" s="175"/>
      <c r="G3" s="175"/>
      <c r="H3" s="175"/>
      <c r="AB3" s="175" t="s">
        <v>23</v>
      </c>
      <c r="AC3" s="175"/>
      <c r="AD3" s="175"/>
      <c r="AE3" s="175"/>
      <c r="AF3" s="175"/>
      <c r="AG3" s="175"/>
      <c r="AH3" s="175"/>
      <c r="AI3" s="175"/>
    </row>
    <row r="4" spans="1:48" ht="15" customHeight="1" x14ac:dyDescent="0.3">
      <c r="D4" s="175"/>
      <c r="E4" s="175"/>
      <c r="F4" s="175"/>
      <c r="G4" s="175"/>
      <c r="H4" s="175"/>
      <c r="AB4" s="175"/>
      <c r="AC4" s="175"/>
      <c r="AD4" s="175"/>
      <c r="AE4" s="175"/>
      <c r="AF4" s="175"/>
      <c r="AG4" s="175"/>
      <c r="AH4" s="175"/>
      <c r="AI4" s="175"/>
    </row>
    <row r="5" spans="1:48" ht="37.5" customHeight="1" x14ac:dyDescent="0.35">
      <c r="B5" s="47" t="s">
        <v>11</v>
      </c>
      <c r="C5" s="29">
        <v>46258</v>
      </c>
      <c r="D5" s="173" t="str">
        <f>CONCATENATE("Lunes ",TEXT(DAY(C5),"00"))</f>
        <v>Lunes 24</v>
      </c>
      <c r="E5" s="174"/>
      <c r="F5" s="174"/>
      <c r="G5" s="117"/>
      <c r="H5" s="118"/>
      <c r="I5" s="172" t="str">
        <f>CONCATENATE("Martes ",TEXT(DAY(C5+1),"00"))</f>
        <v>Martes 25</v>
      </c>
      <c r="J5" s="172"/>
      <c r="K5" s="172"/>
      <c r="L5" s="116"/>
      <c r="M5" s="117"/>
      <c r="N5" s="118"/>
      <c r="O5" s="172" t="str">
        <f>CONCATENATE("Miercoles ",TEXT(DAY(C5+2),"00"))</f>
        <v>Miercoles 26</v>
      </c>
      <c r="P5" s="172"/>
      <c r="Q5" s="172"/>
      <c r="R5" s="172"/>
      <c r="S5" s="172"/>
      <c r="T5" s="117"/>
      <c r="U5" s="118"/>
      <c r="V5" s="124" t="str">
        <f>CONCATENATE("Jueves ",TEXT(DAY(C5+3),"00"))</f>
        <v>Jueves 27</v>
      </c>
      <c r="W5" s="124"/>
      <c r="X5" s="124"/>
      <c r="Y5" s="124"/>
      <c r="Z5" s="116"/>
      <c r="AA5" s="117"/>
      <c r="AB5" s="118"/>
      <c r="AC5" s="124" t="str">
        <f>CONCATENATE("Viernes ",TEXT(DAY(C5+4),"00"))</f>
        <v>Viernes 28</v>
      </c>
      <c r="AD5" s="124"/>
      <c r="AE5" s="124"/>
      <c r="AF5" s="124"/>
      <c r="AG5" s="116"/>
      <c r="AH5" s="117"/>
      <c r="AI5" s="118"/>
      <c r="AJ5" s="124" t="str">
        <f>CONCATENATE("Sábado ",TEXT(DAY(C5+5),"00"))</f>
        <v>Sábado 29</v>
      </c>
      <c r="AK5" s="124"/>
      <c r="AL5" s="124"/>
      <c r="AM5" s="124"/>
      <c r="AN5" s="116"/>
      <c r="AO5" s="117"/>
      <c r="AP5" s="118"/>
      <c r="AQ5" s="124" t="str">
        <f>CONCATENATE("Domingo ",TEXT(DAY(C5+6),"00"))</f>
        <v>Domingo 30</v>
      </c>
      <c r="AR5" s="124"/>
      <c r="AS5" s="124"/>
      <c r="AT5" s="124"/>
      <c r="AU5" s="116"/>
      <c r="AV5" s="39"/>
    </row>
    <row r="6" spans="1:48" ht="84.75" customHeight="1" x14ac:dyDescent="0.3">
      <c r="D6" s="119"/>
      <c r="E6" s="120"/>
      <c r="F6" s="103"/>
      <c r="G6" s="63"/>
      <c r="H6" s="64"/>
      <c r="I6" s="119"/>
      <c r="J6" s="120"/>
      <c r="K6" s="103"/>
      <c r="L6" s="93"/>
      <c r="M6" s="63"/>
      <c r="N6" s="64"/>
      <c r="O6" s="119" t="s">
        <v>26</v>
      </c>
      <c r="P6" s="120" t="s">
        <v>28</v>
      </c>
      <c r="Q6" s="93"/>
      <c r="R6" s="93"/>
      <c r="S6" s="103" t="s">
        <v>25</v>
      </c>
      <c r="T6" s="63"/>
      <c r="U6" s="64"/>
      <c r="V6" s="119" t="s">
        <v>26</v>
      </c>
      <c r="W6" s="120" t="s">
        <v>28</v>
      </c>
      <c r="X6" s="98" t="s">
        <v>27</v>
      </c>
      <c r="Y6" s="103" t="s">
        <v>25</v>
      </c>
      <c r="Z6" s="93"/>
      <c r="AA6" s="63"/>
      <c r="AB6" s="64"/>
      <c r="AC6" s="119" t="s">
        <v>26</v>
      </c>
      <c r="AD6" s="120" t="s">
        <v>28</v>
      </c>
      <c r="AE6" s="98" t="s">
        <v>27</v>
      </c>
      <c r="AF6" s="103" t="s">
        <v>25</v>
      </c>
      <c r="AG6" s="93"/>
      <c r="AH6" s="63"/>
      <c r="AI6" s="64"/>
      <c r="AJ6" s="119" t="s">
        <v>26</v>
      </c>
      <c r="AK6" s="120" t="s">
        <v>28</v>
      </c>
      <c r="AL6" s="98" t="s">
        <v>27</v>
      </c>
      <c r="AM6" s="103" t="s">
        <v>25</v>
      </c>
      <c r="AN6" s="93"/>
      <c r="AO6" s="63"/>
      <c r="AP6" s="64"/>
      <c r="AQ6" s="119" t="s">
        <v>26</v>
      </c>
      <c r="AR6" s="120" t="s">
        <v>28</v>
      </c>
      <c r="AS6" s="98" t="s">
        <v>27</v>
      </c>
      <c r="AT6" s="103" t="s">
        <v>25</v>
      </c>
      <c r="AU6" s="93"/>
      <c r="AV6" s="8"/>
    </row>
    <row r="7" spans="1:48" ht="15" hidden="1" customHeight="1" x14ac:dyDescent="0.3">
      <c r="A7" s="3"/>
      <c r="B7" s="31">
        <v>0.999999999999999</v>
      </c>
      <c r="C7" s="31">
        <v>1.0416666666666701</v>
      </c>
      <c r="D7" s="13"/>
      <c r="E7" s="121"/>
      <c r="F7" s="104"/>
      <c r="G7" s="16"/>
      <c r="H7" s="17"/>
      <c r="I7" s="13"/>
      <c r="J7" s="121"/>
      <c r="K7" s="104"/>
      <c r="L7" s="14"/>
      <c r="M7" s="16"/>
      <c r="N7" s="17"/>
      <c r="O7" s="13"/>
      <c r="P7" s="121"/>
      <c r="Q7" s="14"/>
      <c r="R7" s="11"/>
      <c r="S7" s="104"/>
      <c r="T7" s="16"/>
      <c r="U7" s="17"/>
      <c r="V7" s="13"/>
      <c r="W7" s="121"/>
      <c r="X7" s="83"/>
      <c r="Y7" s="104"/>
      <c r="Z7" s="14"/>
      <c r="AA7" s="16"/>
      <c r="AB7" s="17"/>
      <c r="AC7" s="13"/>
      <c r="AD7" s="121"/>
      <c r="AE7" s="83"/>
      <c r="AF7" s="104"/>
      <c r="AG7" s="14"/>
      <c r="AH7" s="16"/>
      <c r="AI7" s="17"/>
      <c r="AJ7" s="13"/>
      <c r="AK7" s="121"/>
      <c r="AL7" s="83"/>
      <c r="AM7" s="104"/>
      <c r="AN7" s="14"/>
      <c r="AO7" s="16"/>
      <c r="AP7" s="17"/>
      <c r="AQ7" s="13"/>
      <c r="AR7" s="121"/>
      <c r="AS7" s="83"/>
      <c r="AT7" s="104"/>
      <c r="AU7" s="14"/>
      <c r="AV7" s="16"/>
    </row>
    <row r="8" spans="1:48" ht="15" hidden="1" customHeight="1" x14ac:dyDescent="0.3">
      <c r="A8" s="3"/>
      <c r="B8" s="31">
        <v>1.0416666666666601</v>
      </c>
      <c r="C8" s="31">
        <v>1.0833333333333399</v>
      </c>
      <c r="D8" s="13"/>
      <c r="E8" s="121"/>
      <c r="F8" s="104"/>
      <c r="G8" s="16"/>
      <c r="H8" s="17"/>
      <c r="I8" s="13"/>
      <c r="J8" s="121"/>
      <c r="K8" s="104"/>
      <c r="L8" s="14"/>
      <c r="M8" s="16"/>
      <c r="N8" s="17"/>
      <c r="O8" s="13"/>
      <c r="P8" s="121"/>
      <c r="Q8" s="14"/>
      <c r="R8" s="11"/>
      <c r="S8" s="104"/>
      <c r="T8" s="16"/>
      <c r="U8" s="17"/>
      <c r="V8" s="13"/>
      <c r="W8" s="121"/>
      <c r="X8" s="83"/>
      <c r="Y8" s="104"/>
      <c r="Z8" s="14"/>
      <c r="AA8" s="16"/>
      <c r="AB8" s="17"/>
      <c r="AC8" s="13"/>
      <c r="AD8" s="121"/>
      <c r="AE8" s="83"/>
      <c r="AF8" s="104"/>
      <c r="AG8" s="14"/>
      <c r="AH8" s="16"/>
      <c r="AI8" s="17"/>
      <c r="AJ8" s="13"/>
      <c r="AK8" s="121"/>
      <c r="AL8" s="83"/>
      <c r="AM8" s="104"/>
      <c r="AN8" s="14"/>
      <c r="AO8" s="16"/>
      <c r="AP8" s="17"/>
      <c r="AQ8" s="13"/>
      <c r="AR8" s="121"/>
      <c r="AS8" s="83"/>
      <c r="AT8" s="104"/>
      <c r="AU8" s="14"/>
      <c r="AV8" s="16"/>
    </row>
    <row r="9" spans="1:48" ht="15" hidden="1" customHeight="1" x14ac:dyDescent="0.3">
      <c r="A9" s="3"/>
      <c r="B9" s="31">
        <v>1.0833333333333299</v>
      </c>
      <c r="C9" s="31">
        <v>1.125</v>
      </c>
      <c r="D9" s="13"/>
      <c r="E9" s="121"/>
      <c r="F9" s="104"/>
      <c r="G9" s="16"/>
      <c r="H9" s="17"/>
      <c r="I9" s="13"/>
      <c r="J9" s="121"/>
      <c r="K9" s="104"/>
      <c r="L9" s="14"/>
      <c r="M9" s="16"/>
      <c r="N9" s="17"/>
      <c r="O9" s="13"/>
      <c r="P9" s="121"/>
      <c r="Q9" s="14"/>
      <c r="R9" s="11"/>
      <c r="S9" s="104"/>
      <c r="T9" s="16"/>
      <c r="U9" s="17"/>
      <c r="V9" s="13"/>
      <c r="W9" s="121"/>
      <c r="X9" s="83"/>
      <c r="Y9" s="104"/>
      <c r="Z9" s="14"/>
      <c r="AA9" s="16"/>
      <c r="AB9" s="17"/>
      <c r="AC9" s="13"/>
      <c r="AD9" s="121"/>
      <c r="AE9" s="83"/>
      <c r="AF9" s="104"/>
      <c r="AG9" s="14"/>
      <c r="AH9" s="16"/>
      <c r="AI9" s="17"/>
      <c r="AJ9" s="13"/>
      <c r="AK9" s="121"/>
      <c r="AL9" s="83"/>
      <c r="AM9" s="104"/>
      <c r="AN9" s="14"/>
      <c r="AO9" s="16"/>
      <c r="AP9" s="17"/>
      <c r="AQ9" s="13"/>
      <c r="AR9" s="121"/>
      <c r="AS9" s="83"/>
      <c r="AT9" s="104"/>
      <c r="AU9" s="14"/>
      <c r="AV9" s="16"/>
    </row>
    <row r="10" spans="1:48" ht="15" hidden="1" customHeight="1" x14ac:dyDescent="0.3">
      <c r="A10" s="3"/>
      <c r="B10" s="31">
        <v>1.125</v>
      </c>
      <c r="C10" s="31">
        <v>1.1666666666666601</v>
      </c>
      <c r="D10" s="13"/>
      <c r="E10" s="121"/>
      <c r="F10" s="104"/>
      <c r="G10" s="16"/>
      <c r="H10" s="17"/>
      <c r="I10" s="13"/>
      <c r="J10" s="121"/>
      <c r="K10" s="104"/>
      <c r="L10" s="14"/>
      <c r="M10" s="16"/>
      <c r="N10" s="17"/>
      <c r="O10" s="13"/>
      <c r="P10" s="121"/>
      <c r="Q10" s="14"/>
      <c r="R10" s="11"/>
      <c r="S10" s="104"/>
      <c r="T10" s="16"/>
      <c r="U10" s="17"/>
      <c r="V10" s="13"/>
      <c r="W10" s="121"/>
      <c r="X10" s="83"/>
      <c r="Y10" s="104"/>
      <c r="Z10" s="14"/>
      <c r="AA10" s="16"/>
      <c r="AB10" s="17"/>
      <c r="AC10" s="13"/>
      <c r="AD10" s="121"/>
      <c r="AE10" s="83"/>
      <c r="AF10" s="104"/>
      <c r="AG10" s="14"/>
      <c r="AH10" s="16"/>
      <c r="AI10" s="17"/>
      <c r="AJ10" s="13"/>
      <c r="AK10" s="121"/>
      <c r="AL10" s="83"/>
      <c r="AM10" s="104"/>
      <c r="AN10" s="14"/>
      <c r="AO10" s="16"/>
      <c r="AP10" s="17"/>
      <c r="AQ10" s="13"/>
      <c r="AR10" s="121"/>
      <c r="AS10" s="83"/>
      <c r="AT10" s="104"/>
      <c r="AU10" s="14"/>
      <c r="AV10" s="16"/>
    </row>
    <row r="11" spans="1:48" ht="15" hidden="1" customHeight="1" x14ac:dyDescent="0.3">
      <c r="A11" s="3"/>
      <c r="B11" s="31">
        <v>1.1666666666666701</v>
      </c>
      <c r="C11" s="31">
        <v>1.2083333333333199</v>
      </c>
      <c r="D11" s="13"/>
      <c r="E11" s="121"/>
      <c r="F11" s="104"/>
      <c r="G11" s="16"/>
      <c r="H11" s="17"/>
      <c r="I11" s="13"/>
      <c r="J11" s="121"/>
      <c r="K11" s="104"/>
      <c r="L11" s="14"/>
      <c r="M11" s="16"/>
      <c r="N11" s="17"/>
      <c r="O11" s="13"/>
      <c r="P11" s="121"/>
      <c r="Q11" s="14"/>
      <c r="R11" s="11"/>
      <c r="S11" s="104"/>
      <c r="T11" s="16"/>
      <c r="U11" s="17"/>
      <c r="V11" s="13"/>
      <c r="W11" s="121"/>
      <c r="X11" s="83"/>
      <c r="Y11" s="104"/>
      <c r="Z11" s="14"/>
      <c r="AA11" s="16"/>
      <c r="AB11" s="17"/>
      <c r="AC11" s="13"/>
      <c r="AD11" s="121"/>
      <c r="AE11" s="83"/>
      <c r="AF11" s="104"/>
      <c r="AG11" s="14"/>
      <c r="AH11" s="16"/>
      <c r="AI11" s="17"/>
      <c r="AJ11" s="13"/>
      <c r="AK11" s="121"/>
      <c r="AL11" s="83"/>
      <c r="AM11" s="104"/>
      <c r="AN11" s="14"/>
      <c r="AO11" s="16"/>
      <c r="AP11" s="17"/>
      <c r="AQ11" s="13"/>
      <c r="AR11" s="121"/>
      <c r="AS11" s="83"/>
      <c r="AT11" s="104"/>
      <c r="AU11" s="14"/>
      <c r="AV11" s="16"/>
    </row>
    <row r="12" spans="1:48" ht="15" hidden="1" customHeight="1" x14ac:dyDescent="0.3">
      <c r="A12" s="3"/>
      <c r="B12" s="31">
        <v>1.2083333333333399</v>
      </c>
      <c r="C12" s="31">
        <v>1.24999999999998</v>
      </c>
      <c r="D12" s="13"/>
      <c r="E12" s="121"/>
      <c r="F12" s="104"/>
      <c r="G12" s="16"/>
      <c r="H12" s="17"/>
      <c r="I12" s="13"/>
      <c r="J12" s="121"/>
      <c r="K12" s="104"/>
      <c r="L12" s="14"/>
      <c r="M12" s="16"/>
      <c r="N12" s="17"/>
      <c r="O12" s="13"/>
      <c r="P12" s="121"/>
      <c r="Q12" s="14"/>
      <c r="R12" s="11"/>
      <c r="S12" s="104"/>
      <c r="T12" s="16"/>
      <c r="U12" s="17"/>
      <c r="V12" s="13"/>
      <c r="W12" s="121"/>
      <c r="X12" s="83"/>
      <c r="Y12" s="104"/>
      <c r="Z12" s="14"/>
      <c r="AA12" s="16"/>
      <c r="AB12" s="17"/>
      <c r="AC12" s="13"/>
      <c r="AD12" s="121"/>
      <c r="AE12" s="83"/>
      <c r="AF12" s="104"/>
      <c r="AG12" s="14"/>
      <c r="AH12" s="16"/>
      <c r="AI12" s="17"/>
      <c r="AJ12" s="13"/>
      <c r="AK12" s="121"/>
      <c r="AL12" s="83"/>
      <c r="AM12" s="104"/>
      <c r="AN12" s="14"/>
      <c r="AO12" s="16"/>
      <c r="AP12" s="17"/>
      <c r="AQ12" s="13"/>
      <c r="AR12" s="121"/>
      <c r="AS12" s="83"/>
      <c r="AT12" s="104"/>
      <c r="AU12" s="14"/>
      <c r="AV12" s="16"/>
    </row>
    <row r="13" spans="1:48" x14ac:dyDescent="0.3">
      <c r="A13" s="3"/>
      <c r="B13" s="31">
        <v>1.25000000000001</v>
      </c>
      <c r="C13" s="31">
        <v>1.2916666666666401</v>
      </c>
      <c r="D13" s="13"/>
      <c r="E13" s="121"/>
      <c r="F13" s="104"/>
      <c r="G13" s="16"/>
      <c r="H13" s="17"/>
      <c r="I13" s="13"/>
      <c r="J13" s="121"/>
      <c r="K13" s="104"/>
      <c r="L13" s="14"/>
      <c r="M13" s="16"/>
      <c r="N13" s="17"/>
      <c r="O13" s="13"/>
      <c r="P13" s="121"/>
      <c r="Q13" s="14"/>
      <c r="R13" s="11"/>
      <c r="S13" s="104"/>
      <c r="T13" s="16"/>
      <c r="U13" s="17"/>
      <c r="V13" s="13"/>
      <c r="W13" s="121"/>
      <c r="X13" s="83"/>
      <c r="Y13" s="104"/>
      <c r="Z13" s="14"/>
      <c r="AA13" s="16"/>
      <c r="AB13" s="17"/>
      <c r="AC13" s="13"/>
      <c r="AD13" s="121"/>
      <c r="AE13" s="83"/>
      <c r="AF13" s="104"/>
      <c r="AG13" s="14"/>
      <c r="AH13" s="16"/>
      <c r="AI13" s="17"/>
      <c r="AJ13" s="13"/>
      <c r="AK13" s="121"/>
      <c r="AL13" s="83"/>
      <c r="AM13" s="104"/>
      <c r="AN13" s="14"/>
      <c r="AO13" s="16"/>
      <c r="AP13" s="17"/>
      <c r="AQ13" s="13"/>
      <c r="AR13" s="121"/>
      <c r="AS13" s="83"/>
      <c r="AT13" s="104"/>
      <c r="AU13" s="14"/>
      <c r="AV13" s="16"/>
    </row>
    <row r="14" spans="1:48" x14ac:dyDescent="0.3">
      <c r="A14" s="3"/>
      <c r="B14" s="31">
        <v>1.2916666666666801</v>
      </c>
      <c r="C14" s="31">
        <v>1.3333333333333</v>
      </c>
      <c r="D14" s="13"/>
      <c r="E14" s="121"/>
      <c r="F14" s="104"/>
      <c r="G14" s="16"/>
      <c r="H14" s="17"/>
      <c r="I14" s="13"/>
      <c r="J14" s="121"/>
      <c r="K14" s="104"/>
      <c r="L14" s="14"/>
      <c r="M14" s="16"/>
      <c r="N14" s="17"/>
      <c r="O14" s="13"/>
      <c r="P14" s="121"/>
      <c r="Q14" s="14"/>
      <c r="R14" s="11"/>
      <c r="S14" s="104"/>
      <c r="T14" s="16"/>
      <c r="U14" s="17"/>
      <c r="V14" s="13"/>
      <c r="W14" s="121"/>
      <c r="X14" s="83"/>
      <c r="Y14" s="104"/>
      <c r="Z14" s="14"/>
      <c r="AA14" s="16"/>
      <c r="AB14" s="17"/>
      <c r="AC14" s="13"/>
      <c r="AD14" s="121"/>
      <c r="AE14" s="83"/>
      <c r="AF14" s="104"/>
      <c r="AG14" s="14"/>
      <c r="AH14" s="16"/>
      <c r="AI14" s="17"/>
      <c r="AJ14" s="13"/>
      <c r="AK14" s="121"/>
      <c r="AL14" s="83"/>
      <c r="AM14" s="104"/>
      <c r="AN14" s="14"/>
      <c r="AO14" s="16"/>
      <c r="AP14" s="17"/>
      <c r="AQ14" s="13"/>
      <c r="AR14" s="121"/>
      <c r="AS14" s="83"/>
      <c r="AT14" s="104"/>
      <c r="AU14" s="14"/>
      <c r="AV14" s="16"/>
    </row>
    <row r="15" spans="1:48" x14ac:dyDescent="0.3">
      <c r="B15" s="49">
        <v>0.33333333333333298</v>
      </c>
      <c r="C15" s="49">
        <v>0.375</v>
      </c>
      <c r="D15" s="13"/>
      <c r="E15" s="121"/>
      <c r="F15" s="104"/>
      <c r="G15" s="44"/>
      <c r="H15" s="45"/>
      <c r="I15" s="13"/>
      <c r="J15" s="121"/>
      <c r="K15" s="104"/>
      <c r="L15" s="14"/>
      <c r="M15" s="44"/>
      <c r="N15" s="45"/>
      <c r="O15" s="13"/>
      <c r="P15" s="121"/>
      <c r="Q15" s="104"/>
      <c r="R15" s="11"/>
      <c r="S15" s="104"/>
      <c r="T15" s="44"/>
      <c r="U15" s="45"/>
      <c r="V15" s="13"/>
      <c r="W15" s="121"/>
      <c r="X15" s="83"/>
      <c r="Y15" s="104"/>
      <c r="Z15" s="14"/>
      <c r="AA15" s="44"/>
      <c r="AB15" s="45"/>
      <c r="AC15" s="13"/>
      <c r="AD15" s="121"/>
      <c r="AE15" s="83"/>
      <c r="AF15" s="104"/>
      <c r="AG15" s="14"/>
      <c r="AH15" s="44"/>
      <c r="AI15" s="45"/>
      <c r="AJ15" s="13"/>
      <c r="AK15" s="121"/>
      <c r="AL15" s="83"/>
      <c r="AM15" s="104"/>
      <c r="AN15" s="14"/>
      <c r="AO15" s="44"/>
      <c r="AP15" s="45"/>
      <c r="AQ15" s="13"/>
      <c r="AR15" s="121"/>
      <c r="AS15" s="83"/>
      <c r="AT15" s="104"/>
      <c r="AU15" s="111"/>
      <c r="AV15" s="44"/>
    </row>
    <row r="16" spans="1:48" x14ac:dyDescent="0.3">
      <c r="B16" s="49">
        <v>0.375</v>
      </c>
      <c r="C16" s="49">
        <v>0.41666666666666702</v>
      </c>
      <c r="D16" s="13"/>
      <c r="E16" s="121"/>
      <c r="F16" s="104"/>
      <c r="G16" s="44"/>
      <c r="H16" s="45"/>
      <c r="I16" s="13"/>
      <c r="J16" s="121"/>
      <c r="K16" s="104"/>
      <c r="L16" s="89"/>
      <c r="M16" s="44"/>
      <c r="N16" s="45"/>
      <c r="O16" s="13"/>
      <c r="P16" s="121"/>
      <c r="Q16" s="121"/>
      <c r="R16" s="121"/>
      <c r="S16" s="121"/>
      <c r="T16" s="121"/>
      <c r="U16" s="45"/>
      <c r="V16" s="13"/>
      <c r="W16" s="121"/>
      <c r="X16" s="83"/>
      <c r="Y16" s="104"/>
      <c r="Z16" s="43"/>
      <c r="AA16" s="44"/>
      <c r="AB16" s="45"/>
      <c r="AC16" s="13"/>
      <c r="AD16" s="121"/>
      <c r="AE16" s="83"/>
      <c r="AF16" s="104"/>
      <c r="AG16" s="66"/>
      <c r="AH16" s="44"/>
      <c r="AI16" s="45"/>
      <c r="AJ16" s="13"/>
      <c r="AK16" s="121"/>
      <c r="AL16" s="83"/>
      <c r="AM16" s="104">
        <v>1</v>
      </c>
      <c r="AN16" s="66"/>
      <c r="AO16" s="44"/>
      <c r="AP16" s="45"/>
      <c r="AQ16" s="13"/>
      <c r="AR16" s="121"/>
      <c r="AS16" s="83"/>
      <c r="AT16" s="104"/>
      <c r="AU16" s="111"/>
      <c r="AV16" s="44"/>
    </row>
    <row r="17" spans="1:48" x14ac:dyDescent="0.3">
      <c r="A17" s="3"/>
      <c r="B17" s="1">
        <v>0.41666666666666669</v>
      </c>
      <c r="C17" s="1">
        <v>0.45833333333333331</v>
      </c>
      <c r="D17" s="89"/>
      <c r="E17" s="122"/>
      <c r="F17" s="105"/>
      <c r="G17" s="44"/>
      <c r="H17" s="45"/>
      <c r="I17" s="89"/>
      <c r="J17" s="122"/>
      <c r="K17" s="105"/>
      <c r="L17" s="43"/>
      <c r="M17" s="44"/>
      <c r="N17" s="45"/>
      <c r="O17" s="89"/>
      <c r="P17" s="122"/>
      <c r="Q17" s="43"/>
      <c r="R17" s="41"/>
      <c r="S17" s="105"/>
      <c r="T17" s="44"/>
      <c r="U17" s="45"/>
      <c r="V17" s="89">
        <v>1</v>
      </c>
      <c r="W17" s="122">
        <v>1</v>
      </c>
      <c r="X17" s="70"/>
      <c r="Y17" s="105">
        <v>1</v>
      </c>
      <c r="Z17" s="43"/>
      <c r="AA17" s="44"/>
      <c r="AB17" s="45"/>
      <c r="AC17" s="89">
        <v>1</v>
      </c>
      <c r="AD17" s="122">
        <v>1</v>
      </c>
      <c r="AE17" s="70">
        <v>1</v>
      </c>
      <c r="AF17" s="105">
        <v>1</v>
      </c>
      <c r="AG17" s="88"/>
      <c r="AH17" s="44"/>
      <c r="AI17" s="45"/>
      <c r="AJ17" s="89"/>
      <c r="AK17" s="122"/>
      <c r="AL17" s="70"/>
      <c r="AM17" s="105">
        <v>1</v>
      </c>
      <c r="AN17" s="43"/>
      <c r="AO17" s="44"/>
      <c r="AP17" s="45"/>
      <c r="AQ17" s="89"/>
      <c r="AR17" s="122"/>
      <c r="AS17" s="70"/>
      <c r="AT17" s="105">
        <v>1</v>
      </c>
      <c r="AU17" s="43"/>
      <c r="AV17" s="44"/>
    </row>
    <row r="18" spans="1:48" ht="15" customHeight="1" x14ac:dyDescent="0.3">
      <c r="A18" s="3"/>
      <c r="B18" s="1">
        <v>0.45833333333333331</v>
      </c>
      <c r="C18" s="1">
        <v>0.5</v>
      </c>
      <c r="D18" s="89"/>
      <c r="E18" s="122"/>
      <c r="F18" s="105"/>
      <c r="G18" s="44"/>
      <c r="H18" s="45"/>
      <c r="I18" s="89"/>
      <c r="J18" s="122"/>
      <c r="K18" s="105"/>
      <c r="L18" s="43"/>
      <c r="M18" s="44"/>
      <c r="N18" s="45"/>
      <c r="O18" s="89"/>
      <c r="P18" s="122"/>
      <c r="Q18" s="43"/>
      <c r="R18" s="41"/>
      <c r="S18" s="105"/>
      <c r="T18" s="44"/>
      <c r="U18" s="45"/>
      <c r="V18" s="89">
        <v>1</v>
      </c>
      <c r="W18" s="122">
        <v>1</v>
      </c>
      <c r="X18" s="70"/>
      <c r="Y18" s="105">
        <v>1</v>
      </c>
      <c r="Z18" s="43"/>
      <c r="AA18" s="44"/>
      <c r="AB18" s="45"/>
      <c r="AC18" s="89">
        <v>1</v>
      </c>
      <c r="AD18" s="122">
        <v>1</v>
      </c>
      <c r="AE18" s="70">
        <v>1</v>
      </c>
      <c r="AF18" s="105">
        <v>1</v>
      </c>
      <c r="AG18" s="43"/>
      <c r="AH18" s="44"/>
      <c r="AI18" s="45"/>
      <c r="AJ18" s="89"/>
      <c r="AK18" s="122"/>
      <c r="AL18" s="70"/>
      <c r="AM18" s="105">
        <v>1</v>
      </c>
      <c r="AN18" s="43"/>
      <c r="AO18" s="44"/>
      <c r="AP18" s="45"/>
      <c r="AQ18" s="89"/>
      <c r="AR18" s="122">
        <v>1</v>
      </c>
      <c r="AS18" s="70"/>
      <c r="AT18" s="105">
        <v>1</v>
      </c>
      <c r="AU18" s="43"/>
      <c r="AV18" s="44"/>
    </row>
    <row r="19" spans="1:48" x14ac:dyDescent="0.3">
      <c r="A19" s="3"/>
      <c r="B19" s="1">
        <v>0.5</v>
      </c>
      <c r="C19" s="1">
        <v>0.54166666666666663</v>
      </c>
      <c r="D19" s="89"/>
      <c r="E19" s="122"/>
      <c r="F19" s="105"/>
      <c r="G19" s="44"/>
      <c r="H19" s="45"/>
      <c r="I19" s="89"/>
      <c r="J19" s="122"/>
      <c r="K19" s="105"/>
      <c r="L19" s="43"/>
      <c r="M19" s="44"/>
      <c r="N19" s="45"/>
      <c r="O19" s="89"/>
      <c r="P19" s="122"/>
      <c r="Q19" s="43"/>
      <c r="R19" s="41"/>
      <c r="S19" s="105"/>
      <c r="T19" s="44"/>
      <c r="U19" s="45"/>
      <c r="V19" s="89">
        <v>1</v>
      </c>
      <c r="W19" s="122">
        <v>1</v>
      </c>
      <c r="X19" s="70">
        <v>1</v>
      </c>
      <c r="Y19" s="105">
        <v>1</v>
      </c>
      <c r="Z19" s="43"/>
      <c r="AA19" s="44"/>
      <c r="AB19" s="45"/>
      <c r="AC19" s="89"/>
      <c r="AD19" s="122"/>
      <c r="AE19" s="70"/>
      <c r="AF19" s="105"/>
      <c r="AG19" s="43"/>
      <c r="AH19" s="44"/>
      <c r="AI19" s="45"/>
      <c r="AJ19" s="89"/>
      <c r="AK19" s="122"/>
      <c r="AL19" s="70">
        <v>1</v>
      </c>
      <c r="AM19" s="105">
        <v>1</v>
      </c>
      <c r="AN19" s="43"/>
      <c r="AO19" s="44"/>
      <c r="AP19" s="45"/>
      <c r="AQ19" s="89"/>
      <c r="AR19" s="122">
        <v>1</v>
      </c>
      <c r="AS19" s="70"/>
      <c r="AT19" s="105">
        <v>1</v>
      </c>
      <c r="AU19" s="43"/>
      <c r="AV19" s="44"/>
    </row>
    <row r="20" spans="1:48" ht="15.75" customHeight="1" x14ac:dyDescent="0.3">
      <c r="A20" s="3"/>
      <c r="B20" s="1">
        <v>0.54166666666666663</v>
      </c>
      <c r="C20" s="1">
        <v>0.58333333333333304</v>
      </c>
      <c r="D20" s="89"/>
      <c r="E20" s="122"/>
      <c r="F20" s="105"/>
      <c r="G20" s="44"/>
      <c r="H20" s="46"/>
      <c r="I20" s="89"/>
      <c r="J20" s="122"/>
      <c r="K20" s="105"/>
      <c r="L20" s="43"/>
      <c r="M20" s="44"/>
      <c r="N20" s="46"/>
      <c r="O20" s="89"/>
      <c r="P20" s="122"/>
      <c r="Q20" s="43"/>
      <c r="R20" s="41"/>
      <c r="S20" s="105"/>
      <c r="T20" s="44"/>
      <c r="U20" s="46"/>
      <c r="V20" s="89"/>
      <c r="W20" s="122"/>
      <c r="X20" s="70"/>
      <c r="Y20" s="105"/>
      <c r="Z20" s="43"/>
      <c r="AA20" s="44"/>
      <c r="AB20" s="46"/>
      <c r="AC20" s="89">
        <v>1</v>
      </c>
      <c r="AD20" s="122">
        <v>1</v>
      </c>
      <c r="AE20" s="70">
        <v>1</v>
      </c>
      <c r="AF20" s="105">
        <v>1</v>
      </c>
      <c r="AG20" s="43"/>
      <c r="AH20" s="44"/>
      <c r="AI20" s="46"/>
      <c r="AJ20" s="89">
        <v>1</v>
      </c>
      <c r="AK20" s="122">
        <v>1</v>
      </c>
      <c r="AL20" s="70"/>
      <c r="AM20" s="105"/>
      <c r="AN20" s="43"/>
      <c r="AO20" s="44"/>
      <c r="AP20" s="46"/>
      <c r="AQ20" s="89">
        <v>1</v>
      </c>
      <c r="AR20" s="122"/>
      <c r="AS20" s="70">
        <v>1</v>
      </c>
      <c r="AT20" s="105"/>
      <c r="AU20" s="43"/>
      <c r="AV20" s="44"/>
    </row>
    <row r="21" spans="1:48" ht="15" customHeight="1" x14ac:dyDescent="0.3">
      <c r="A21" s="3" t="s">
        <v>2</v>
      </c>
      <c r="B21" s="1">
        <v>0.58333333333333304</v>
      </c>
      <c r="C21" s="1">
        <v>0.625</v>
      </c>
      <c r="D21" s="89"/>
      <c r="E21" s="122"/>
      <c r="F21" s="105"/>
      <c r="G21" s="44"/>
      <c r="H21" s="45"/>
      <c r="I21" s="89"/>
      <c r="J21" s="122"/>
      <c r="K21" s="105"/>
      <c r="L21" s="43"/>
      <c r="M21" s="44"/>
      <c r="N21" s="45"/>
      <c r="O21" s="89"/>
      <c r="P21" s="122"/>
      <c r="Q21" s="43"/>
      <c r="R21" s="41"/>
      <c r="S21" s="105"/>
      <c r="T21" s="44"/>
      <c r="U21" s="45"/>
      <c r="V21" s="89">
        <v>1</v>
      </c>
      <c r="W21" s="122">
        <v>1</v>
      </c>
      <c r="X21" s="70">
        <v>1</v>
      </c>
      <c r="Y21" s="105">
        <v>1</v>
      </c>
      <c r="Z21" s="43"/>
      <c r="AA21" s="44"/>
      <c r="AB21" s="45"/>
      <c r="AC21" s="89">
        <v>1</v>
      </c>
      <c r="AD21" s="122">
        <v>1</v>
      </c>
      <c r="AE21" s="70">
        <v>1</v>
      </c>
      <c r="AF21" s="105">
        <v>1</v>
      </c>
      <c r="AG21" s="43"/>
      <c r="AH21" s="44"/>
      <c r="AI21" s="45"/>
      <c r="AJ21" s="89"/>
      <c r="AK21" s="122"/>
      <c r="AL21" s="70">
        <v>1</v>
      </c>
      <c r="AM21" s="105">
        <v>1</v>
      </c>
      <c r="AN21" s="43"/>
      <c r="AO21" s="44"/>
      <c r="AP21" s="45"/>
      <c r="AQ21" s="89"/>
      <c r="AR21" s="122">
        <v>1</v>
      </c>
      <c r="AS21" s="70"/>
      <c r="AT21" s="105">
        <v>1</v>
      </c>
      <c r="AU21" s="43"/>
      <c r="AV21" s="44"/>
    </row>
    <row r="22" spans="1:48" ht="15" customHeight="1" x14ac:dyDescent="0.3">
      <c r="A22" s="3"/>
      <c r="B22" s="1">
        <v>0.625</v>
      </c>
      <c r="C22" s="1">
        <v>0.66666666666666696</v>
      </c>
      <c r="D22" s="89"/>
      <c r="E22" s="122"/>
      <c r="F22" s="105"/>
      <c r="G22" s="44"/>
      <c r="H22" s="45"/>
      <c r="I22" s="89"/>
      <c r="J22" s="122"/>
      <c r="K22" s="105"/>
      <c r="L22" s="43"/>
      <c r="M22" s="44"/>
      <c r="N22" s="45"/>
      <c r="O22" s="89"/>
      <c r="P22" s="122"/>
      <c r="Q22" s="43"/>
      <c r="R22" s="41"/>
      <c r="S22" s="105"/>
      <c r="T22" s="44"/>
      <c r="U22" s="45"/>
      <c r="V22" s="89">
        <v>1</v>
      </c>
      <c r="W22" s="122">
        <v>1</v>
      </c>
      <c r="X22" s="70">
        <v>1</v>
      </c>
      <c r="Y22" s="105">
        <v>1</v>
      </c>
      <c r="Z22" s="43"/>
      <c r="AA22" s="44"/>
      <c r="AB22" s="45"/>
      <c r="AC22" s="89">
        <v>1</v>
      </c>
      <c r="AD22" s="122">
        <v>1</v>
      </c>
      <c r="AE22" s="70">
        <v>1</v>
      </c>
      <c r="AF22" s="105">
        <v>1</v>
      </c>
      <c r="AG22" s="43"/>
      <c r="AH22" s="44"/>
      <c r="AI22" s="45"/>
      <c r="AJ22" s="89">
        <v>1</v>
      </c>
      <c r="AK22" s="122">
        <v>1</v>
      </c>
      <c r="AL22" s="70">
        <v>1</v>
      </c>
      <c r="AM22" s="105">
        <v>1</v>
      </c>
      <c r="AN22" s="43"/>
      <c r="AO22" s="44"/>
      <c r="AP22" s="45"/>
      <c r="AQ22" s="89">
        <v>1</v>
      </c>
      <c r="AR22" s="122">
        <v>1</v>
      </c>
      <c r="AS22" s="70">
        <v>1</v>
      </c>
      <c r="AT22" s="105">
        <v>1</v>
      </c>
      <c r="AU22" s="43"/>
      <c r="AV22" s="44"/>
    </row>
    <row r="23" spans="1:48" ht="14.25" customHeight="1" x14ac:dyDescent="0.3">
      <c r="A23" s="3"/>
      <c r="B23" s="1">
        <v>0.66666666666666696</v>
      </c>
      <c r="C23" s="1">
        <v>0.70833333333333304</v>
      </c>
      <c r="D23" s="89"/>
      <c r="E23" s="122"/>
      <c r="F23" s="105"/>
      <c r="G23" s="44"/>
      <c r="H23" s="45"/>
      <c r="I23" s="89"/>
      <c r="J23" s="122"/>
      <c r="K23" s="105"/>
      <c r="L23" s="43"/>
      <c r="M23" s="44"/>
      <c r="N23" s="45"/>
      <c r="O23" s="89"/>
      <c r="P23" s="122"/>
      <c r="Q23" s="43"/>
      <c r="R23" s="41"/>
      <c r="S23" s="105"/>
      <c r="T23" s="44"/>
      <c r="U23" s="45"/>
      <c r="V23" s="89">
        <v>1</v>
      </c>
      <c r="W23" s="122">
        <v>1</v>
      </c>
      <c r="X23" s="70">
        <v>1</v>
      </c>
      <c r="Y23" s="105">
        <v>1</v>
      </c>
      <c r="Z23" s="43"/>
      <c r="AA23" s="44"/>
      <c r="AB23" s="45"/>
      <c r="AC23" s="89">
        <v>1</v>
      </c>
      <c r="AD23" s="122">
        <v>1</v>
      </c>
      <c r="AE23" s="70">
        <v>1</v>
      </c>
      <c r="AF23" s="105">
        <v>1</v>
      </c>
      <c r="AG23" s="43"/>
      <c r="AH23" s="44"/>
      <c r="AI23" s="45"/>
      <c r="AJ23" s="89">
        <v>1</v>
      </c>
      <c r="AK23" s="122">
        <v>1</v>
      </c>
      <c r="AL23" s="70">
        <v>1</v>
      </c>
      <c r="AM23" s="105">
        <v>1</v>
      </c>
      <c r="AN23" s="43"/>
      <c r="AO23" s="44"/>
      <c r="AP23" s="45"/>
      <c r="AQ23" s="89">
        <v>1</v>
      </c>
      <c r="AR23" s="122">
        <v>1</v>
      </c>
      <c r="AS23" s="70">
        <v>1</v>
      </c>
      <c r="AT23" s="105">
        <v>1</v>
      </c>
      <c r="AU23" s="43"/>
      <c r="AV23" s="44"/>
    </row>
    <row r="24" spans="1:48" x14ac:dyDescent="0.3">
      <c r="B24" s="1">
        <v>0.70833333333333337</v>
      </c>
      <c r="C24" s="1">
        <v>0.75</v>
      </c>
      <c r="D24" s="89"/>
      <c r="E24" s="122"/>
      <c r="F24" s="105"/>
      <c r="G24" s="44"/>
      <c r="H24" s="45"/>
      <c r="I24" s="89"/>
      <c r="J24" s="122"/>
      <c r="K24" s="105"/>
      <c r="L24" s="43"/>
      <c r="M24" s="44"/>
      <c r="N24" s="45"/>
      <c r="O24" s="89"/>
      <c r="P24" s="122"/>
      <c r="Q24" s="43"/>
      <c r="R24" s="41"/>
      <c r="S24" s="105"/>
      <c r="T24" s="44"/>
      <c r="U24" s="45"/>
      <c r="V24" s="89">
        <v>1</v>
      </c>
      <c r="W24" s="122">
        <v>1</v>
      </c>
      <c r="X24" s="70">
        <v>1</v>
      </c>
      <c r="Y24" s="105">
        <v>1</v>
      </c>
      <c r="Z24" s="43"/>
      <c r="AA24" s="44"/>
      <c r="AB24" s="45"/>
      <c r="AC24" s="89">
        <v>1</v>
      </c>
      <c r="AD24" s="122">
        <v>1</v>
      </c>
      <c r="AE24" s="70">
        <v>1</v>
      </c>
      <c r="AF24" s="105">
        <v>1</v>
      </c>
      <c r="AG24" s="43"/>
      <c r="AH24" s="44"/>
      <c r="AI24" s="45"/>
      <c r="AJ24" s="89">
        <v>1</v>
      </c>
      <c r="AK24" s="122">
        <v>1</v>
      </c>
      <c r="AL24" s="70">
        <v>1</v>
      </c>
      <c r="AM24" s="105">
        <v>1</v>
      </c>
      <c r="AN24" s="43"/>
      <c r="AO24" s="44"/>
      <c r="AP24" s="45"/>
      <c r="AQ24" s="89">
        <v>1</v>
      </c>
      <c r="AR24" s="122">
        <v>1</v>
      </c>
      <c r="AS24" s="70">
        <v>1</v>
      </c>
      <c r="AT24" s="105">
        <v>1</v>
      </c>
      <c r="AU24" s="43"/>
      <c r="AV24" s="44"/>
    </row>
    <row r="25" spans="1:48" x14ac:dyDescent="0.3">
      <c r="A25" s="3"/>
      <c r="B25" s="1">
        <v>0.75</v>
      </c>
      <c r="C25" s="1">
        <v>0.79166666666666696</v>
      </c>
      <c r="D25" s="89"/>
      <c r="E25" s="122"/>
      <c r="F25" s="105"/>
      <c r="G25" s="44"/>
      <c r="H25" s="45"/>
      <c r="I25" s="89"/>
      <c r="J25" s="122"/>
      <c r="K25" s="105"/>
      <c r="L25" s="43"/>
      <c r="M25" s="44"/>
      <c r="N25" s="45"/>
      <c r="O25" s="89"/>
      <c r="P25" s="122"/>
      <c r="Q25" s="43"/>
      <c r="R25" s="41"/>
      <c r="S25" s="105"/>
      <c r="T25" s="44"/>
      <c r="U25" s="45"/>
      <c r="V25" s="89">
        <v>1</v>
      </c>
      <c r="W25" s="122">
        <v>1</v>
      </c>
      <c r="X25" s="70">
        <v>1</v>
      </c>
      <c r="Y25" s="105">
        <v>1</v>
      </c>
      <c r="Z25" s="43"/>
      <c r="AA25" s="44"/>
      <c r="AB25" s="45"/>
      <c r="AC25" s="89">
        <v>1</v>
      </c>
      <c r="AD25" s="122">
        <v>1</v>
      </c>
      <c r="AE25" s="70">
        <v>1</v>
      </c>
      <c r="AF25" s="105">
        <v>1</v>
      </c>
      <c r="AG25" s="43"/>
      <c r="AH25" s="44"/>
      <c r="AI25" s="45"/>
      <c r="AJ25" s="89">
        <v>1</v>
      </c>
      <c r="AK25" s="122">
        <v>1</v>
      </c>
      <c r="AL25" s="70">
        <v>1</v>
      </c>
      <c r="AM25" s="105">
        <v>1</v>
      </c>
      <c r="AN25" s="43"/>
      <c r="AO25" s="44"/>
      <c r="AP25" s="45"/>
      <c r="AQ25" s="89">
        <v>1</v>
      </c>
      <c r="AR25" s="122">
        <v>1</v>
      </c>
      <c r="AS25" s="70">
        <v>1</v>
      </c>
      <c r="AT25" s="105">
        <v>1</v>
      </c>
      <c r="AU25" s="43"/>
      <c r="AV25" s="44"/>
    </row>
    <row r="26" spans="1:48" x14ac:dyDescent="0.3">
      <c r="A26" s="3"/>
      <c r="B26" s="1">
        <v>0.79166666666666696</v>
      </c>
      <c r="C26" s="1">
        <v>0.83333333333333304</v>
      </c>
      <c r="D26" s="89"/>
      <c r="E26" s="122"/>
      <c r="F26" s="105"/>
      <c r="G26" s="44"/>
      <c r="H26" s="45"/>
      <c r="I26" s="89"/>
      <c r="J26" s="122"/>
      <c r="K26" s="105"/>
      <c r="L26" s="43"/>
      <c r="M26" s="44"/>
      <c r="N26" s="45"/>
      <c r="O26" s="89"/>
      <c r="P26" s="122"/>
      <c r="Q26" s="43"/>
      <c r="R26" s="41"/>
      <c r="S26" s="105"/>
      <c r="T26" s="44"/>
      <c r="U26" s="45"/>
      <c r="V26" s="89"/>
      <c r="W26" s="122"/>
      <c r="X26" s="70"/>
      <c r="Y26" s="105"/>
      <c r="Z26" s="43"/>
      <c r="AA26" s="44"/>
      <c r="AB26" s="45"/>
      <c r="AC26" s="89"/>
      <c r="AD26" s="122"/>
      <c r="AE26" s="70"/>
      <c r="AF26" s="105"/>
      <c r="AG26" s="43"/>
      <c r="AH26" s="44"/>
      <c r="AI26" s="45"/>
      <c r="AJ26" s="89">
        <v>1</v>
      </c>
      <c r="AK26" s="122">
        <v>1</v>
      </c>
      <c r="AL26" s="70">
        <v>1</v>
      </c>
      <c r="AM26" s="105">
        <v>1</v>
      </c>
      <c r="AN26" s="43"/>
      <c r="AO26" s="44"/>
      <c r="AP26" s="45"/>
      <c r="AQ26" s="89">
        <v>1</v>
      </c>
      <c r="AR26" s="122">
        <v>1</v>
      </c>
      <c r="AS26" s="70">
        <v>1</v>
      </c>
      <c r="AT26" s="105"/>
      <c r="AU26" s="43"/>
      <c r="AV26" s="44"/>
    </row>
    <row r="27" spans="1:48" x14ac:dyDescent="0.3">
      <c r="A27" s="3"/>
      <c r="B27" s="1">
        <v>0.83333333333333337</v>
      </c>
      <c r="C27" s="1">
        <v>0.875</v>
      </c>
      <c r="D27" s="89"/>
      <c r="E27" s="122"/>
      <c r="F27" s="105"/>
      <c r="G27" s="44"/>
      <c r="H27" s="45"/>
      <c r="I27" s="89"/>
      <c r="J27" s="122"/>
      <c r="K27" s="105"/>
      <c r="L27" s="43"/>
      <c r="M27" s="44"/>
      <c r="N27" s="45"/>
      <c r="O27" s="89"/>
      <c r="P27" s="122"/>
      <c r="Q27" s="43"/>
      <c r="R27" s="41"/>
      <c r="S27" s="105"/>
      <c r="T27" s="44"/>
      <c r="U27" s="45"/>
      <c r="V27" s="89"/>
      <c r="W27" s="122"/>
      <c r="X27" s="70"/>
      <c r="Y27" s="105"/>
      <c r="Z27" s="43"/>
      <c r="AA27" s="44"/>
      <c r="AB27" s="45"/>
      <c r="AC27" s="89"/>
      <c r="AD27" s="122"/>
      <c r="AE27" s="70"/>
      <c r="AF27" s="105"/>
      <c r="AG27" s="43"/>
      <c r="AH27" s="44"/>
      <c r="AI27" s="45"/>
      <c r="AJ27" s="89">
        <v>1</v>
      </c>
      <c r="AK27" s="122">
        <v>1</v>
      </c>
      <c r="AL27" s="70">
        <v>1</v>
      </c>
      <c r="AM27" s="105"/>
      <c r="AN27" s="43"/>
      <c r="AO27" s="44"/>
      <c r="AP27" s="45"/>
      <c r="AQ27" s="89">
        <v>1</v>
      </c>
      <c r="AR27" s="122"/>
      <c r="AS27" s="70">
        <v>1</v>
      </c>
      <c r="AT27" s="105"/>
      <c r="AU27" s="43"/>
      <c r="AV27" s="44"/>
    </row>
    <row r="28" spans="1:48" x14ac:dyDescent="0.3">
      <c r="A28" s="3"/>
      <c r="B28" s="1">
        <v>0.875</v>
      </c>
      <c r="C28" s="1">
        <v>0.91666666666666696</v>
      </c>
      <c r="D28" s="89"/>
      <c r="E28" s="122"/>
      <c r="F28" s="105"/>
      <c r="G28" s="44"/>
      <c r="H28" s="45"/>
      <c r="I28" s="89"/>
      <c r="J28" s="122"/>
      <c r="K28" s="105"/>
      <c r="L28" s="43"/>
      <c r="M28" s="44"/>
      <c r="N28" s="45"/>
      <c r="O28" s="89"/>
      <c r="P28" s="122"/>
      <c r="Q28" s="43"/>
      <c r="R28" s="41"/>
      <c r="S28" s="105"/>
      <c r="T28" s="44"/>
      <c r="U28" s="45"/>
      <c r="V28" s="89"/>
      <c r="W28" s="122"/>
      <c r="X28" s="70"/>
      <c r="Y28" s="105"/>
      <c r="Z28" s="43"/>
      <c r="AA28" s="44"/>
      <c r="AB28" s="45"/>
      <c r="AC28" s="89"/>
      <c r="AD28" s="122"/>
      <c r="AE28" s="70"/>
      <c r="AF28" s="105"/>
      <c r="AG28" s="43"/>
      <c r="AI28" s="45"/>
      <c r="AJ28" s="89">
        <v>1</v>
      </c>
      <c r="AK28" s="122">
        <v>1</v>
      </c>
      <c r="AL28" s="70"/>
      <c r="AM28" s="105"/>
      <c r="AN28" s="43"/>
      <c r="AO28" s="44"/>
      <c r="AP28" s="45"/>
      <c r="AQ28" s="89">
        <v>1</v>
      </c>
      <c r="AR28" s="122"/>
      <c r="AS28" s="70">
        <v>1</v>
      </c>
      <c r="AT28" s="105"/>
      <c r="AU28" s="43"/>
      <c r="AV28" s="44"/>
    </row>
    <row r="29" spans="1:48" x14ac:dyDescent="0.3">
      <c r="A29" s="3"/>
      <c r="B29" s="31">
        <v>0.91666666666666596</v>
      </c>
      <c r="C29" s="31">
        <v>0.95833333333333404</v>
      </c>
      <c r="D29" s="13"/>
      <c r="E29" s="121"/>
      <c r="F29" s="104"/>
      <c r="G29" s="16"/>
      <c r="H29" s="17"/>
      <c r="I29" s="13"/>
      <c r="J29" s="121"/>
      <c r="K29" s="104"/>
      <c r="L29" s="9"/>
      <c r="M29" s="16"/>
      <c r="N29" s="17"/>
      <c r="O29" s="13"/>
      <c r="P29" s="121"/>
      <c r="Q29" s="43"/>
      <c r="R29" s="41"/>
      <c r="S29" s="104"/>
      <c r="T29" s="16"/>
      <c r="U29" s="17"/>
      <c r="V29" s="13"/>
      <c r="W29" s="121"/>
      <c r="X29" s="83"/>
      <c r="Y29" s="104"/>
      <c r="Z29" s="14"/>
      <c r="AA29" s="16"/>
      <c r="AB29" s="17"/>
      <c r="AC29" s="13"/>
      <c r="AD29" s="121"/>
      <c r="AE29" s="83"/>
      <c r="AF29" s="104"/>
      <c r="AG29" s="14"/>
      <c r="AH29" s="66"/>
      <c r="AI29" s="17"/>
      <c r="AJ29" s="13"/>
      <c r="AK29" s="121"/>
      <c r="AL29" s="83"/>
      <c r="AM29" s="104"/>
      <c r="AN29" s="9"/>
      <c r="AO29" s="16"/>
      <c r="AP29" s="17"/>
      <c r="AQ29" s="13"/>
      <c r="AR29" s="121"/>
      <c r="AS29" s="83"/>
      <c r="AT29" s="104"/>
      <c r="AU29" s="9"/>
      <c r="AV29" s="16"/>
    </row>
    <row r="30" spans="1:48" x14ac:dyDescent="0.3">
      <c r="A30" s="3"/>
      <c r="B30" s="31">
        <v>0.95833333333333304</v>
      </c>
      <c r="C30" s="31">
        <v>1</v>
      </c>
      <c r="D30" s="13"/>
      <c r="E30" s="121"/>
      <c r="F30" s="104"/>
      <c r="G30" s="16"/>
      <c r="H30" s="17"/>
      <c r="I30" s="13"/>
      <c r="J30" s="121"/>
      <c r="K30" s="104"/>
      <c r="L30" s="9"/>
      <c r="M30" s="16"/>
      <c r="N30" s="17"/>
      <c r="O30" s="13"/>
      <c r="P30" s="121"/>
      <c r="Q30" s="14"/>
      <c r="R30" s="11"/>
      <c r="S30" s="104"/>
      <c r="T30" s="16"/>
      <c r="U30" s="17"/>
      <c r="V30" s="13"/>
      <c r="W30" s="121"/>
      <c r="X30" s="83"/>
      <c r="Y30" s="104"/>
      <c r="Z30" s="14"/>
      <c r="AA30" s="16"/>
      <c r="AB30" s="17"/>
      <c r="AC30" s="13"/>
      <c r="AD30" s="121"/>
      <c r="AE30" s="83"/>
      <c r="AF30" s="104"/>
      <c r="AG30" s="14"/>
      <c r="AH30" s="16"/>
      <c r="AI30" s="17"/>
      <c r="AJ30" s="13"/>
      <c r="AK30" s="121"/>
      <c r="AL30" s="83"/>
      <c r="AM30" s="104"/>
      <c r="AN30" s="9"/>
      <c r="AO30" s="16"/>
      <c r="AP30" s="17"/>
      <c r="AQ30" s="13"/>
      <c r="AR30" s="121"/>
      <c r="AS30" s="83"/>
      <c r="AT30" s="104"/>
      <c r="AU30" s="9"/>
      <c r="AV30" s="16"/>
    </row>
    <row r="31" spans="1:48" x14ac:dyDescent="0.3">
      <c r="A31" s="3"/>
      <c r="Y31" s="123"/>
    </row>
    <row r="32" spans="1:48" customFormat="1" x14ac:dyDescent="0.3">
      <c r="A32" s="21"/>
      <c r="D32" s="171" t="str">
        <f>CONCATENATE("Lunes ",TEXT(DAY(C5),"00"))</f>
        <v>Lunes 24</v>
      </c>
      <c r="E32" s="171"/>
      <c r="F32" s="171"/>
      <c r="G32" s="171"/>
      <c r="I32" s="171" t="str">
        <f>CONCATENATE("Martes ",TEXT(DAY(C5+1),"00"))</f>
        <v>Martes 25</v>
      </c>
      <c r="J32" s="171"/>
      <c r="K32" s="171"/>
      <c r="L32" s="171"/>
      <c r="M32" s="171"/>
      <c r="O32" s="171" t="str">
        <f>CONCATENATE("Miercoles ",TEXT(DAY(C5+2),"00"))</f>
        <v>Miercoles 26</v>
      </c>
      <c r="P32" s="171"/>
      <c r="Q32" s="171"/>
      <c r="R32" s="171"/>
      <c r="S32" s="171"/>
      <c r="T32" s="171"/>
      <c r="V32" s="171" t="str">
        <f>CONCATENATE("Jueves ",TEXT(DAY(C5+3),"00"))</f>
        <v>Jueves 27</v>
      </c>
      <c r="W32" s="171"/>
      <c r="X32" s="171"/>
      <c r="Y32" s="171"/>
      <c r="Z32" s="171"/>
      <c r="AA32" s="171"/>
      <c r="AC32" s="171" t="str">
        <f>CONCATENATE("Viernes ",TEXT(DAY(C5+4),"00"))</f>
        <v>Viernes 28</v>
      </c>
      <c r="AD32" s="171"/>
      <c r="AE32" s="171"/>
      <c r="AF32" s="171"/>
      <c r="AG32" s="171"/>
      <c r="AH32" s="171"/>
      <c r="AJ32" s="171" t="s">
        <v>29</v>
      </c>
      <c r="AK32" s="171"/>
      <c r="AL32" s="171"/>
      <c r="AM32" s="171"/>
      <c r="AN32" s="171"/>
      <c r="AO32" s="171"/>
      <c r="AQ32" s="171" t="str">
        <f>CONCATENATE("Domingo ",TEXT(DAY(C5+6),"00"))</f>
        <v>Domingo 30</v>
      </c>
      <c r="AR32" s="171"/>
      <c r="AS32" s="171"/>
      <c r="AT32" s="171"/>
      <c r="AU32" s="171"/>
      <c r="AV32" s="171"/>
    </row>
    <row r="33" spans="1:48" customFormat="1" ht="75" customHeight="1" x14ac:dyDescent="0.3">
      <c r="A33" s="21"/>
      <c r="D33" s="119"/>
      <c r="E33" s="120"/>
      <c r="F33" s="103"/>
      <c r="G33" s="25">
        <f>+G6</f>
        <v>0</v>
      </c>
      <c r="I33" s="119"/>
      <c r="J33" s="120"/>
      <c r="K33" s="103"/>
      <c r="L33" s="91">
        <f t="shared" ref="L33" si="0">+L6</f>
        <v>0</v>
      </c>
      <c r="M33" s="25">
        <f>+M6</f>
        <v>0</v>
      </c>
      <c r="O33" s="127" t="str">
        <f t="shared" ref="O33:R33" si="1">+O6</f>
        <v>CLAUDIA</v>
      </c>
      <c r="P33" s="125" t="str">
        <f t="shared" si="1"/>
        <v>FAVIA</v>
      </c>
      <c r="Q33" s="91">
        <f t="shared" si="1"/>
        <v>0</v>
      </c>
      <c r="R33" s="91">
        <f t="shared" si="1"/>
        <v>0</v>
      </c>
      <c r="S33" s="103" t="str">
        <f>S6</f>
        <v>DANNA</v>
      </c>
      <c r="T33" s="25">
        <f>+T6</f>
        <v>0</v>
      </c>
      <c r="V33" s="127" t="str">
        <f t="shared" ref="V33:AA33" si="2">+V6</f>
        <v>CLAUDIA</v>
      </c>
      <c r="W33" s="125" t="str">
        <f t="shared" si="2"/>
        <v>FAVIA</v>
      </c>
      <c r="X33" s="99" t="str">
        <f t="shared" si="2"/>
        <v>MARIA</v>
      </c>
      <c r="Y33" s="129" t="str">
        <f t="shared" si="2"/>
        <v>DANNA</v>
      </c>
      <c r="Z33" s="91">
        <f t="shared" si="2"/>
        <v>0</v>
      </c>
      <c r="AA33" s="25">
        <f t="shared" si="2"/>
        <v>0</v>
      </c>
      <c r="AC33" s="127" t="str">
        <f t="shared" ref="AC33:AH33" si="3">+AC6</f>
        <v>CLAUDIA</v>
      </c>
      <c r="AD33" s="125" t="str">
        <f t="shared" si="3"/>
        <v>FAVIA</v>
      </c>
      <c r="AE33" s="99" t="str">
        <f t="shared" si="3"/>
        <v>MARIA</v>
      </c>
      <c r="AF33" s="129" t="str">
        <f t="shared" si="3"/>
        <v>DANNA</v>
      </c>
      <c r="AG33" s="91">
        <f t="shared" si="3"/>
        <v>0</v>
      </c>
      <c r="AH33" s="25">
        <f t="shared" si="3"/>
        <v>0</v>
      </c>
      <c r="AJ33" s="127" t="str">
        <f>AJ6</f>
        <v>CLAUDIA</v>
      </c>
      <c r="AK33" s="125" t="str">
        <f>AK6</f>
        <v>FAVIA</v>
      </c>
      <c r="AL33" s="99" t="str">
        <f>AL6</f>
        <v>MARIA</v>
      </c>
      <c r="AM33" s="129" t="str">
        <f>AM6</f>
        <v>DANNA</v>
      </c>
      <c r="AN33" s="101"/>
      <c r="AO33" s="25"/>
      <c r="AQ33" s="127" t="str">
        <f>+AQ6</f>
        <v>CLAUDIA</v>
      </c>
      <c r="AR33" s="125" t="str">
        <f>+AR6</f>
        <v>FAVIA</v>
      </c>
      <c r="AS33" s="99" t="str">
        <f>+AS6</f>
        <v>MARIA</v>
      </c>
      <c r="AT33" s="129" t="str">
        <f>+AT6</f>
        <v>DANNA</v>
      </c>
      <c r="AU33" s="90">
        <f t="shared" ref="AU33:AV33" si="4">+AU6</f>
        <v>0</v>
      </c>
      <c r="AV33" s="90">
        <f t="shared" si="4"/>
        <v>0</v>
      </c>
    </row>
    <row r="34" spans="1:48" s="34" customFormat="1" ht="16.5" customHeight="1" x14ac:dyDescent="0.3">
      <c r="A34" s="33"/>
      <c r="C34" s="97" t="s">
        <v>9</v>
      </c>
      <c r="D34" s="119"/>
      <c r="E34" s="120"/>
      <c r="F34" s="103"/>
      <c r="G34" s="38">
        <f t="shared" ref="G34" si="5">SUM(G7:G30)</f>
        <v>0</v>
      </c>
      <c r="I34" s="119"/>
      <c r="J34" s="120"/>
      <c r="K34" s="103"/>
      <c r="L34" s="94">
        <f t="shared" ref="L34:M34" si="6">SUM(L7:L30)</f>
        <v>0</v>
      </c>
      <c r="M34" s="38">
        <f t="shared" si="6"/>
        <v>0</v>
      </c>
      <c r="O34" s="128">
        <f>SUM(O7:O30)</f>
        <v>0</v>
      </c>
      <c r="P34" s="126">
        <f t="shared" ref="P34:T34" si="7">SUM(P7:P30)</f>
        <v>0</v>
      </c>
      <c r="Q34" s="102">
        <f t="shared" si="7"/>
        <v>0</v>
      </c>
      <c r="R34" s="102">
        <f t="shared" si="7"/>
        <v>0</v>
      </c>
      <c r="S34" s="106">
        <f t="shared" si="7"/>
        <v>0</v>
      </c>
      <c r="T34" s="38">
        <f t="shared" si="7"/>
        <v>0</v>
      </c>
      <c r="V34" s="128">
        <f>SUM(V7:V30)</f>
        <v>8</v>
      </c>
      <c r="W34" s="126">
        <f t="shared" ref="W34:AA34" si="8">SUM(W7:W30)</f>
        <v>8</v>
      </c>
      <c r="X34" s="100">
        <f t="shared" si="8"/>
        <v>6</v>
      </c>
      <c r="Y34" s="106">
        <f t="shared" si="8"/>
        <v>8</v>
      </c>
      <c r="Z34" s="94">
        <f t="shared" si="8"/>
        <v>0</v>
      </c>
      <c r="AA34" s="38">
        <f t="shared" si="8"/>
        <v>0</v>
      </c>
      <c r="AC34" s="128">
        <f>SUM(AC7:AC30)</f>
        <v>8</v>
      </c>
      <c r="AD34" s="126">
        <f t="shared" ref="AD34:AH34" si="9">SUM(AD7:AD30)</f>
        <v>8</v>
      </c>
      <c r="AE34" s="100">
        <f t="shared" si="9"/>
        <v>8</v>
      </c>
      <c r="AF34" s="106">
        <f t="shared" si="9"/>
        <v>8</v>
      </c>
      <c r="AG34" s="94">
        <f t="shared" si="9"/>
        <v>0</v>
      </c>
      <c r="AH34" s="38">
        <f t="shared" si="9"/>
        <v>0</v>
      </c>
      <c r="AJ34" s="128">
        <f>SUM(AJ7:AJ30)</f>
        <v>8</v>
      </c>
      <c r="AK34" s="126">
        <f t="shared" ref="AK34:AO34" si="10">SUM(AK7:AK30)</f>
        <v>8</v>
      </c>
      <c r="AL34" s="100">
        <f t="shared" si="10"/>
        <v>8</v>
      </c>
      <c r="AM34" s="106">
        <f t="shared" si="10"/>
        <v>10</v>
      </c>
      <c r="AN34" s="102">
        <f t="shared" si="10"/>
        <v>0</v>
      </c>
      <c r="AO34" s="38">
        <f t="shared" si="10"/>
        <v>0</v>
      </c>
      <c r="AQ34" s="128">
        <f>SUM(AQ7:AQ30)</f>
        <v>8</v>
      </c>
      <c r="AR34" s="126">
        <f t="shared" ref="AR34:AV34" si="11">SUM(AR7:AR30)</f>
        <v>8</v>
      </c>
      <c r="AS34" s="100">
        <f t="shared" si="11"/>
        <v>8</v>
      </c>
      <c r="AT34" s="106">
        <f t="shared" si="11"/>
        <v>8</v>
      </c>
      <c r="AU34" s="94">
        <f t="shared" si="11"/>
        <v>0</v>
      </c>
      <c r="AV34" s="38">
        <f t="shared" si="11"/>
        <v>0</v>
      </c>
    </row>
    <row r="35" spans="1:48" s="27" customFormat="1" ht="11.25" hidden="1" customHeight="1" x14ac:dyDescent="0.2">
      <c r="A35" s="26"/>
      <c r="C35" s="165" t="s">
        <v>10</v>
      </c>
      <c r="D35" s="166" t="str">
        <f>+_xlfn.CONCAT(IF(AND(D14=0.5,D15=0.5),"8:30 AM - 9:30 AM",IF(AND(D14=0.5,D15=0.5,COUNT(D16:D17)&lt;2),"8:30 AM - 9:30 AM",""))," Y ",IF(SUM(D15:D30)&gt;=7.5,"",""))</f>
        <v xml:space="preserve"> Y </v>
      </c>
      <c r="E35" s="160" t="str">
        <f t="shared" ref="E35" si="12">+IF(AND(E14=0.5,E15=0.5),"8:30 AM - 9:30 AM","")</f>
        <v/>
      </c>
      <c r="F35" s="138"/>
      <c r="G35" s="176" t="str">
        <f>+IF(AND(G14=0.5,G15=0.5),"8:30 AM - 9:30 AM","")</f>
        <v/>
      </c>
      <c r="H35" s="30"/>
      <c r="I35" s="159"/>
      <c r="J35" s="160"/>
      <c r="K35" s="157"/>
      <c r="L35" s="168"/>
      <c r="M35" s="148"/>
      <c r="N35" s="30"/>
      <c r="O35" s="159"/>
      <c r="P35" s="160"/>
      <c r="Q35" s="158"/>
      <c r="R35" s="157"/>
      <c r="S35" s="137"/>
      <c r="T35" s="148"/>
      <c r="U35" s="30"/>
      <c r="V35" s="159"/>
      <c r="W35" s="160"/>
      <c r="X35" s="136"/>
      <c r="Y35" s="157"/>
      <c r="Z35" s="158"/>
      <c r="AA35" s="148"/>
      <c r="AB35" s="30"/>
      <c r="AC35" s="159"/>
      <c r="AD35" s="160"/>
      <c r="AE35" s="136"/>
      <c r="AF35" s="157"/>
      <c r="AG35" s="158"/>
      <c r="AH35" s="148"/>
      <c r="AI35" s="30"/>
      <c r="AJ35" s="159"/>
      <c r="AK35" s="160"/>
      <c r="AL35" s="136"/>
      <c r="AM35" s="157"/>
      <c r="AN35" s="158"/>
      <c r="AO35" s="148"/>
      <c r="AP35" s="30"/>
      <c r="AQ35" s="159"/>
      <c r="AR35" s="160"/>
      <c r="AS35" s="136"/>
      <c r="AT35" s="157"/>
      <c r="AU35" s="158"/>
      <c r="AV35" s="148"/>
    </row>
    <row r="36" spans="1:48" ht="15" hidden="1" customHeight="1" thickBot="1" x14ac:dyDescent="0.35">
      <c r="A36" s="3"/>
      <c r="C36" s="165"/>
      <c r="D36" s="167"/>
      <c r="E36" s="160"/>
      <c r="F36" s="139"/>
      <c r="G36" s="177"/>
      <c r="H36" s="28"/>
      <c r="I36" s="159"/>
      <c r="J36" s="160"/>
      <c r="K36" s="157"/>
      <c r="L36" s="169"/>
      <c r="M36" s="148"/>
      <c r="N36" s="28"/>
      <c r="O36" s="159"/>
      <c r="P36" s="160"/>
      <c r="Q36" s="158"/>
      <c r="R36" s="157"/>
      <c r="S36" s="137"/>
      <c r="T36" s="148"/>
      <c r="U36" s="28"/>
      <c r="V36" s="159"/>
      <c r="W36" s="160"/>
      <c r="X36" s="136"/>
      <c r="Y36" s="157"/>
      <c r="Z36" s="158"/>
      <c r="AA36" s="148"/>
      <c r="AB36" s="28"/>
      <c r="AC36" s="159"/>
      <c r="AD36" s="160"/>
      <c r="AE36" s="136"/>
      <c r="AF36" s="157"/>
      <c r="AG36" s="158"/>
      <c r="AH36" s="148"/>
      <c r="AI36" s="28"/>
      <c r="AJ36" s="159"/>
      <c r="AK36" s="160"/>
      <c r="AL36" s="136"/>
      <c r="AM36" s="157"/>
      <c r="AN36" s="158"/>
      <c r="AO36" s="148"/>
      <c r="AP36" s="28"/>
      <c r="AQ36" s="159"/>
      <c r="AR36" s="160"/>
      <c r="AS36" s="136"/>
      <c r="AT36" s="157"/>
      <c r="AU36" s="158"/>
      <c r="AV36" s="148"/>
    </row>
    <row r="37" spans="1:48" ht="15" thickBot="1" x14ac:dyDescent="0.35">
      <c r="A37" s="3"/>
      <c r="D37" s="18"/>
      <c r="E37" s="18"/>
      <c r="F37" s="18"/>
      <c r="G37" s="18"/>
      <c r="I37" s="18"/>
      <c r="J37" s="18"/>
      <c r="K37" s="92"/>
      <c r="L37" s="92"/>
      <c r="M37" s="18"/>
      <c r="O37" s="18"/>
      <c r="P37" s="18"/>
      <c r="Q37" s="18"/>
      <c r="R37" s="18"/>
      <c r="S37" s="18"/>
      <c r="T37" s="18"/>
      <c r="V37" s="18"/>
      <c r="W37" s="18"/>
      <c r="X37" s="18"/>
      <c r="Y37" s="18"/>
      <c r="Z37" s="18"/>
      <c r="AA37" s="18"/>
      <c r="AC37" s="18"/>
      <c r="AD37" s="18"/>
      <c r="AE37" s="18"/>
      <c r="AF37" s="18"/>
      <c r="AG37" s="18"/>
      <c r="AH37" s="18"/>
      <c r="AJ37" s="18"/>
      <c r="AK37" s="18"/>
      <c r="AL37" s="18"/>
      <c r="AM37" s="18"/>
      <c r="AN37" s="18"/>
      <c r="AO37" s="18"/>
      <c r="AQ37" s="18"/>
      <c r="AR37" s="18"/>
      <c r="AS37" s="18"/>
      <c r="AT37" s="18"/>
      <c r="AU37" s="18"/>
      <c r="AV37" s="18"/>
    </row>
    <row r="38" spans="1:48" x14ac:dyDescent="0.3">
      <c r="A38" s="3"/>
      <c r="B38" s="149" t="s">
        <v>3</v>
      </c>
      <c r="C38" s="150"/>
      <c r="D38" s="150"/>
      <c r="E38" s="150"/>
      <c r="F38" s="95"/>
      <c r="G38" s="96"/>
      <c r="H38" s="151" t="s">
        <v>4</v>
      </c>
      <c r="I38" s="152"/>
      <c r="J38" s="152"/>
      <c r="K38" s="109"/>
      <c r="L38" s="107"/>
      <c r="M38" s="107"/>
      <c r="N38" s="107"/>
      <c r="O38" s="107"/>
      <c r="P38" s="107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</row>
    <row r="39" spans="1:48" ht="15" customHeight="1" x14ac:dyDescent="0.3">
      <c r="A39" s="3"/>
      <c r="B39" s="153" t="str">
        <f>O33</f>
        <v>CLAUDIA</v>
      </c>
      <c r="C39" s="154"/>
      <c r="D39" s="154"/>
      <c r="E39" s="154"/>
      <c r="F39" s="130" t="s">
        <v>24</v>
      </c>
      <c r="G39" s="155" t="s">
        <v>7</v>
      </c>
      <c r="H39" s="156"/>
      <c r="I39" s="156"/>
      <c r="J39" s="156"/>
      <c r="K39" s="110">
        <f>D34+I34+O34+V34+AC34+AJ34+AQ34</f>
        <v>32</v>
      </c>
      <c r="L39" s="108"/>
      <c r="M39" s="108"/>
      <c r="N39" s="108"/>
      <c r="O39" s="108"/>
      <c r="P39" s="108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</row>
    <row r="40" spans="1:48" ht="15" customHeight="1" x14ac:dyDescent="0.3">
      <c r="A40" s="3"/>
      <c r="B40" s="161" t="str">
        <f>W33</f>
        <v>FAVIA</v>
      </c>
      <c r="C40" s="162"/>
      <c r="D40" s="162"/>
      <c r="E40" s="162"/>
      <c r="F40" s="131" t="s">
        <v>24</v>
      </c>
      <c r="G40" s="163" t="s">
        <v>8</v>
      </c>
      <c r="H40" s="164"/>
      <c r="I40" s="164"/>
      <c r="J40" s="164"/>
      <c r="K40" s="110">
        <f>E34+J34+P34+W34+AD34+AK34+AR34</f>
        <v>32</v>
      </c>
      <c r="L40" s="108"/>
      <c r="M40" s="108"/>
      <c r="N40" s="108"/>
      <c r="O40" s="108"/>
      <c r="P40" s="108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</row>
    <row r="41" spans="1:48" ht="15" customHeight="1" x14ac:dyDescent="0.3">
      <c r="A41" s="3"/>
      <c r="B41" s="140" t="str">
        <f>AF33</f>
        <v>DANNA</v>
      </c>
      <c r="C41" s="141"/>
      <c r="D41" s="141"/>
      <c r="E41" s="141"/>
      <c r="F41" s="132" t="s">
        <v>24</v>
      </c>
      <c r="G41" s="142" t="s">
        <v>6</v>
      </c>
      <c r="H41" s="143"/>
      <c r="I41" s="143"/>
      <c r="J41" s="143"/>
      <c r="K41" s="133">
        <f>F34+K34+S34+Y34+AF34+AM34+AT34</f>
        <v>34</v>
      </c>
      <c r="L41" s="108"/>
      <c r="M41" s="108"/>
      <c r="N41" s="108"/>
      <c r="O41" s="108"/>
      <c r="P41" s="108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</row>
    <row r="42" spans="1:48" x14ac:dyDescent="0.3">
      <c r="B42" s="144" t="str">
        <f>X33</f>
        <v>MARIA</v>
      </c>
      <c r="C42" s="145"/>
      <c r="D42" s="145"/>
      <c r="E42" s="145"/>
      <c r="F42" s="134" t="s">
        <v>24</v>
      </c>
      <c r="G42" s="146" t="s">
        <v>6</v>
      </c>
      <c r="H42" s="147"/>
      <c r="I42" s="147"/>
      <c r="J42" s="147"/>
      <c r="K42" s="135">
        <f>X34+AE34+AL34+AS34</f>
        <v>30</v>
      </c>
      <c r="L42" s="108"/>
      <c r="M42" s="108"/>
      <c r="N42" s="108"/>
      <c r="O42" s="108"/>
      <c r="P42" s="108"/>
    </row>
  </sheetData>
  <sheetProtection selectLockedCells="1"/>
  <mergeCells count="57">
    <mergeCell ref="B41:E41"/>
    <mergeCell ref="G41:J41"/>
    <mergeCell ref="B42:E42"/>
    <mergeCell ref="G42:J42"/>
    <mergeCell ref="AV35:AV36"/>
    <mergeCell ref="B38:E38"/>
    <mergeCell ref="H38:J38"/>
    <mergeCell ref="B39:E39"/>
    <mergeCell ref="G39:J39"/>
    <mergeCell ref="B40:E40"/>
    <mergeCell ref="G40:J40"/>
    <mergeCell ref="AN35:AN36"/>
    <mergeCell ref="AO35:AO36"/>
    <mergeCell ref="AQ35:AQ36"/>
    <mergeCell ref="AR35:AR36"/>
    <mergeCell ref="AT35:AT36"/>
    <mergeCell ref="AU35:AU36"/>
    <mergeCell ref="AF35:AF36"/>
    <mergeCell ref="AG35:AG36"/>
    <mergeCell ref="AH35:AH36"/>
    <mergeCell ref="AJ35:AJ36"/>
    <mergeCell ref="AK35:AK36"/>
    <mergeCell ref="AM35:AM36"/>
    <mergeCell ref="W35:W36"/>
    <mergeCell ref="Y35:Y36"/>
    <mergeCell ref="Z35:Z36"/>
    <mergeCell ref="AA35:AA36"/>
    <mergeCell ref="AC35:AC36"/>
    <mergeCell ref="AD35:AD36"/>
    <mergeCell ref="O35:O36"/>
    <mergeCell ref="P35:P36"/>
    <mergeCell ref="Q35:Q36"/>
    <mergeCell ref="R35:R36"/>
    <mergeCell ref="T35:T36"/>
    <mergeCell ref="V35:V36"/>
    <mergeCell ref="AQ32:AV32"/>
    <mergeCell ref="C35:C36"/>
    <mergeCell ref="D35:D36"/>
    <mergeCell ref="E35:E36"/>
    <mergeCell ref="G35:G36"/>
    <mergeCell ref="I35:I36"/>
    <mergeCell ref="J35:J36"/>
    <mergeCell ref="K35:K36"/>
    <mergeCell ref="L35:L36"/>
    <mergeCell ref="M35:M36"/>
    <mergeCell ref="D32:G32"/>
    <mergeCell ref="I32:M32"/>
    <mergeCell ref="O32:T32"/>
    <mergeCell ref="V32:AA32"/>
    <mergeCell ref="AC32:AH32"/>
    <mergeCell ref="AJ32:AO32"/>
    <mergeCell ref="D2:AU2"/>
    <mergeCell ref="D3:H4"/>
    <mergeCell ref="AB3:AI4"/>
    <mergeCell ref="D5:F5"/>
    <mergeCell ref="I5:K5"/>
    <mergeCell ref="O5:S5"/>
  </mergeCells>
  <conditionalFormatting sqref="O29:P29 L15 Z15 AG15 AN15 D7:G14 D29:G30 I7:M14 I29:M30 S29:T29 O7:T14 O30:T30 V7:AA14 V29:AA30 AC7:AH14 AC29:AH30 AJ7:AO14 AJ29:AO30 AQ7:AV14 AQ29:AV30 D15:F16 I15:K16 O15:S15 AQ15:AU16 O16:T16">
    <cfRule type="expression" dxfId="4" priority="5">
      <formula>IF(OR(D7=0,D7=""),TRUE(),FALSE())</formula>
    </cfRule>
  </conditionalFormatting>
  <conditionalFormatting sqref="T15 AA15:AA16 AO15:AO16 AV15:AV16 AH29 Q29:R29 G15:G28 AN16 Z16 AH15:AH27 I17:L19 D17:F28 M15:M19 I20:M28 O17:T28 L16 AG16 V17:AA28 AC17:AG28 AJ17:AO28 AQ17:AV28">
    <cfRule type="expression" dxfId="3" priority="4">
      <formula>IF(OR(D15=0,D15=""),TRUE(),FALSE())</formula>
    </cfRule>
  </conditionalFormatting>
  <conditionalFormatting sqref="V15:Y16">
    <cfRule type="expression" dxfId="2" priority="3">
      <formula>IF(OR(V15=0,V15=""),TRUE(),FALSE())</formula>
    </cfRule>
  </conditionalFormatting>
  <conditionalFormatting sqref="AC15:AF16">
    <cfRule type="expression" dxfId="1" priority="2">
      <formula>IF(OR(AC15=0,AC15=""),TRUE(),FALSE())</formula>
    </cfRule>
  </conditionalFormatting>
  <conditionalFormatting sqref="AJ15:AM16">
    <cfRule type="expression" dxfId="0" priority="1">
      <formula>IF(OR(AJ15=0,AJ15=""),TRUE(),FALSE())</formula>
    </cfRule>
  </conditionalFormatting>
  <dataValidations count="1">
    <dataValidation type="list" allowBlank="1" showInputMessage="1" showErrorMessage="1" sqref="AH7:AH27 AJ7:AO30 AG7:AG28 V7:AA30 D7:G30 I7:M30 O7:T30 AG29:AH30 AC7:AF30 AQ7:AV30" xr:uid="{A2CD7444-2C37-4923-A099-A582E7EC9E37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85F96-AFC0-457C-9283-4EF284AE1499}">
  <sheetPr codeName="Hoja3"/>
  <dimension ref="A1:BT46"/>
  <sheetViews>
    <sheetView showGridLines="0" zoomScale="89" zoomScaleNormal="89" workbookViewId="0">
      <pane xSplit="3" ySplit="6" topLeftCell="D13" activePane="bottomRight" state="frozen"/>
      <selection pane="topRight" activeCell="D1" sqref="D1"/>
      <selection pane="bottomLeft" activeCell="A8" sqref="A8"/>
      <selection pane="bottomRight" activeCell="D22" sqref="D22"/>
    </sheetView>
  </sheetViews>
  <sheetFormatPr baseColWidth="10" defaultColWidth="11.44140625" defaultRowHeight="14.4" x14ac:dyDescent="0.3"/>
  <cols>
    <col min="1" max="1" width="1.5546875" style="5" customWidth="1"/>
    <col min="2" max="3" width="12.6640625" style="5" customWidth="1"/>
    <col min="4" max="7" width="4.5546875" style="5" customWidth="1"/>
    <col min="8" max="8" width="4.6640625" style="5" customWidth="1"/>
    <col min="9" max="10" width="4.5546875" style="5" hidden="1" customWidth="1"/>
    <col min="11" max="11" width="4.5546875" style="5" customWidth="1"/>
    <col min="12" max="12" width="5.44140625" style="5" hidden="1" customWidth="1"/>
    <col min="13" max="13" width="3.88671875" style="5" customWidth="1"/>
    <col min="14" max="18" width="4.5546875" style="5" customWidth="1"/>
    <col min="19" max="20" width="4.5546875" style="5" hidden="1" customWidth="1"/>
    <col min="21" max="21" width="4.5546875" style="5" customWidth="1"/>
    <col min="22" max="22" width="4.5546875" style="5" hidden="1" customWidth="1"/>
    <col min="23" max="23" width="3.88671875" style="5" customWidth="1"/>
    <col min="24" max="28" width="4.5546875" style="5" customWidth="1"/>
    <col min="29" max="30" width="4.5546875" style="5" hidden="1" customWidth="1"/>
    <col min="31" max="31" width="4.5546875" style="5" customWidth="1"/>
    <col min="32" max="32" width="4.5546875" style="5" hidden="1" customWidth="1"/>
    <col min="33" max="33" width="3.88671875" style="5" customWidth="1"/>
    <col min="34" max="38" width="4.5546875" style="5" customWidth="1"/>
    <col min="39" max="40" width="4.5546875" style="5" hidden="1" customWidth="1"/>
    <col min="41" max="41" width="4.5546875" style="5" customWidth="1"/>
    <col min="42" max="42" width="4.5546875" style="5" hidden="1" customWidth="1"/>
    <col min="43" max="43" width="3.88671875" style="5" customWidth="1"/>
    <col min="44" max="48" width="4.5546875" style="5" customWidth="1"/>
    <col min="49" max="50" width="4.5546875" style="5" hidden="1" customWidth="1"/>
    <col min="51" max="51" width="4.5546875" style="5" customWidth="1"/>
    <col min="52" max="52" width="4.5546875" style="5" hidden="1" customWidth="1"/>
    <col min="53" max="53" width="3.88671875" style="5" customWidth="1"/>
    <col min="54" max="58" width="4.5546875" style="5" customWidth="1"/>
    <col min="59" max="60" width="4.5546875" style="5" hidden="1" customWidth="1"/>
    <col min="61" max="61" width="4.5546875" style="5" customWidth="1"/>
    <col min="62" max="62" width="4.5546875" style="5" hidden="1" customWidth="1"/>
    <col min="63" max="63" width="3.88671875" style="5" customWidth="1"/>
    <col min="64" max="68" width="4.5546875" style="5" customWidth="1"/>
    <col min="69" max="70" width="4.5546875" style="5" hidden="1" customWidth="1"/>
    <col min="71" max="71" width="4.5546875" style="5" customWidth="1"/>
    <col min="72" max="72" width="4.5546875" style="5" hidden="1" customWidth="1"/>
    <col min="73" max="16384" width="11.44140625" style="5"/>
  </cols>
  <sheetData>
    <row r="1" spans="1:72" ht="18" x14ac:dyDescent="0.35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2" ht="45" customHeight="1" x14ac:dyDescent="0.3">
      <c r="A2" s="48" t="s">
        <v>1</v>
      </c>
      <c r="B2" s="7"/>
      <c r="C2" s="7"/>
      <c r="D2" s="216" t="str">
        <f>UPPER(CONCATENATE("HORARIO ",TEXT(DAY(C5),"00")," DE ",TEXT(C5,"mmmm")," AL ",TEXT(DAY(C5+6),"00")," DE ",TEXT(C5+6,"mmmm")))</f>
        <v>HORARIO 02 DE MARZO AL 08 DE MARZO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6"/>
      <c r="AN2" s="216"/>
      <c r="AO2" s="216"/>
      <c r="AP2" s="216"/>
      <c r="AQ2" s="216"/>
      <c r="AR2" s="216"/>
      <c r="AS2" s="216"/>
      <c r="AT2" s="216"/>
      <c r="AU2" s="216"/>
      <c r="AV2" s="216"/>
      <c r="AW2" s="216"/>
      <c r="AX2" s="216"/>
      <c r="AY2" s="216"/>
      <c r="AZ2" s="216"/>
      <c r="BA2" s="216"/>
      <c r="BB2" s="216"/>
      <c r="BC2" s="216"/>
      <c r="BD2" s="216"/>
      <c r="BE2" s="216"/>
      <c r="BF2" s="216"/>
      <c r="BG2" s="216"/>
      <c r="BH2" s="216"/>
      <c r="BI2" s="216"/>
      <c r="BJ2" s="216"/>
      <c r="BK2" s="216"/>
      <c r="BL2" s="216"/>
      <c r="BM2" s="216"/>
      <c r="BN2" s="216"/>
      <c r="BO2" s="216"/>
      <c r="BP2" s="216"/>
      <c r="BQ2" s="216"/>
      <c r="BR2" s="216"/>
      <c r="BS2" s="216"/>
      <c r="BT2" s="40"/>
    </row>
    <row r="3" spans="1:72" x14ac:dyDescent="0.3">
      <c r="A3" s="6"/>
    </row>
    <row r="5" spans="1:72" ht="55.5" customHeight="1" x14ac:dyDescent="0.5">
      <c r="B5" s="47" t="s">
        <v>11</v>
      </c>
      <c r="C5" s="29">
        <v>46083</v>
      </c>
      <c r="D5" s="39" t="str">
        <f>CONCATENATE("Lunes ",TEXT(DAY(C5),"00"))</f>
        <v>Lunes 02</v>
      </c>
      <c r="E5" s="39"/>
      <c r="F5" s="39"/>
      <c r="G5" s="39"/>
      <c r="H5" s="39"/>
      <c r="I5" s="39"/>
      <c r="J5" s="39"/>
      <c r="K5" s="39"/>
      <c r="L5" s="39"/>
      <c r="M5" s="32"/>
      <c r="N5" s="39" t="str">
        <f>CONCATENATE("Martes ",TEXT(DAY(C5+1),"00"))</f>
        <v>Martes 03</v>
      </c>
      <c r="O5" s="39"/>
      <c r="P5" s="39"/>
      <c r="Q5" s="39"/>
      <c r="R5" s="39"/>
      <c r="S5" s="39"/>
      <c r="T5" s="39"/>
      <c r="U5" s="39"/>
      <c r="V5" s="39"/>
      <c r="W5" s="32"/>
      <c r="X5" s="39" t="str">
        <f>CONCATENATE("Miercoles ",TEXT(DAY(C5+2),"00"))</f>
        <v>Miercoles 04</v>
      </c>
      <c r="Y5" s="39"/>
      <c r="Z5" s="39"/>
      <c r="AA5" s="39"/>
      <c r="AB5" s="39"/>
      <c r="AC5" s="39"/>
      <c r="AD5" s="39"/>
      <c r="AE5" s="39"/>
      <c r="AF5" s="39"/>
      <c r="AG5" s="32"/>
      <c r="AH5" s="39" t="str">
        <f>CONCATENATE("Jueves ",TEXT(DAY(C5+3),"00"))</f>
        <v>Jueves 05</v>
      </c>
      <c r="AI5" s="39"/>
      <c r="AJ5" s="39"/>
      <c r="AK5" s="39"/>
      <c r="AL5" s="39"/>
      <c r="AM5" s="39"/>
      <c r="AN5" s="39"/>
      <c r="AO5" s="39"/>
      <c r="AP5" s="39"/>
      <c r="AQ5" s="32"/>
      <c r="AR5" s="39" t="str">
        <f>CONCATENATE("Viernes ",TEXT(DAY(C5+4),"00"))</f>
        <v>Viernes 06</v>
      </c>
      <c r="AS5" s="39"/>
      <c r="AT5" s="39"/>
      <c r="AU5" s="39"/>
      <c r="AV5" s="39"/>
      <c r="AW5" s="39"/>
      <c r="AX5" s="39"/>
      <c r="AY5" s="39"/>
      <c r="AZ5" s="39"/>
      <c r="BA5" s="32"/>
      <c r="BB5" s="39" t="str">
        <f>CONCATENATE("Sábado ",TEXT(DAY(C5+5),"00"))</f>
        <v>Sábado 07</v>
      </c>
      <c r="BC5" s="39"/>
      <c r="BD5" s="39"/>
      <c r="BE5" s="39"/>
      <c r="BF5" s="39"/>
      <c r="BG5" s="39"/>
      <c r="BH5" s="39"/>
      <c r="BI5" s="39"/>
      <c r="BJ5" s="39"/>
      <c r="BK5" s="32"/>
      <c r="BL5" s="39" t="str">
        <f>CONCATENATE("Domingo ",TEXT(DAY(C5+6),"00"))</f>
        <v>Domingo 08</v>
      </c>
      <c r="BM5" s="39"/>
      <c r="BN5" s="39"/>
      <c r="BO5" s="39"/>
      <c r="BP5" s="39"/>
      <c r="BQ5" s="39"/>
      <c r="BR5" s="39"/>
      <c r="BS5" s="39"/>
      <c r="BT5" s="39"/>
    </row>
    <row r="6" spans="1:72" ht="63.75" customHeight="1" x14ac:dyDescent="0.3">
      <c r="D6" s="65" t="s">
        <v>13</v>
      </c>
      <c r="E6" s="57" t="s">
        <v>14</v>
      </c>
      <c r="F6" s="58" t="s">
        <v>15</v>
      </c>
      <c r="G6" s="59" t="s">
        <v>16</v>
      </c>
      <c r="H6" s="60" t="s">
        <v>17</v>
      </c>
      <c r="I6" s="57"/>
      <c r="J6" s="61"/>
      <c r="K6" s="62"/>
      <c r="L6" s="63"/>
      <c r="M6" s="64"/>
      <c r="N6" s="65" t="s">
        <v>13</v>
      </c>
      <c r="O6" s="57" t="s">
        <v>14</v>
      </c>
      <c r="P6" s="58" t="s">
        <v>15</v>
      </c>
      <c r="Q6" s="59" t="s">
        <v>16</v>
      </c>
      <c r="R6" s="60" t="s">
        <v>17</v>
      </c>
      <c r="S6" s="57"/>
      <c r="T6" s="61"/>
      <c r="U6" s="62"/>
      <c r="V6" s="63"/>
      <c r="W6" s="64"/>
      <c r="X6" s="65" t="s">
        <v>13</v>
      </c>
      <c r="Y6" s="57" t="s">
        <v>14</v>
      </c>
      <c r="Z6" s="58" t="s">
        <v>15</v>
      </c>
      <c r="AA6" s="59" t="s">
        <v>16</v>
      </c>
      <c r="AB6" s="60" t="s">
        <v>17</v>
      </c>
      <c r="AC6" s="57"/>
      <c r="AD6" s="61"/>
      <c r="AE6" s="62"/>
      <c r="AF6" s="63"/>
      <c r="AG6" s="64"/>
      <c r="AH6" s="65" t="s">
        <v>13</v>
      </c>
      <c r="AI6" s="57" t="s">
        <v>14</v>
      </c>
      <c r="AJ6" s="58" t="s">
        <v>15</v>
      </c>
      <c r="AK6" s="59" t="s">
        <v>16</v>
      </c>
      <c r="AL6" s="60" t="s">
        <v>17</v>
      </c>
      <c r="AM6" s="57"/>
      <c r="AN6" s="61"/>
      <c r="AO6" s="62"/>
      <c r="AP6" s="63"/>
      <c r="AQ6" s="64"/>
      <c r="AR6" s="65" t="s">
        <v>13</v>
      </c>
      <c r="AS6" s="57" t="s">
        <v>14</v>
      </c>
      <c r="AT6" s="58" t="s">
        <v>15</v>
      </c>
      <c r="AU6" s="59" t="s">
        <v>16</v>
      </c>
      <c r="AV6" s="60" t="s">
        <v>17</v>
      </c>
      <c r="AW6" s="57"/>
      <c r="AX6" s="61"/>
      <c r="AY6" s="62"/>
      <c r="AZ6" s="63"/>
      <c r="BA6" s="64"/>
      <c r="BB6" s="65" t="s">
        <v>13</v>
      </c>
      <c r="BC6" s="57" t="s">
        <v>14</v>
      </c>
      <c r="BD6" s="58" t="s">
        <v>15</v>
      </c>
      <c r="BE6" s="59" t="s">
        <v>16</v>
      </c>
      <c r="BF6" s="60" t="s">
        <v>17</v>
      </c>
      <c r="BG6" s="57"/>
      <c r="BH6" s="61"/>
      <c r="BI6" s="62"/>
      <c r="BJ6" s="63"/>
      <c r="BK6" s="64"/>
      <c r="BL6" s="65" t="s">
        <v>13</v>
      </c>
      <c r="BM6" s="57" t="s">
        <v>14</v>
      </c>
      <c r="BN6" s="58" t="s">
        <v>15</v>
      </c>
      <c r="BO6" s="59" t="s">
        <v>16</v>
      </c>
      <c r="BP6" s="60" t="s">
        <v>17</v>
      </c>
      <c r="BQ6" s="57"/>
      <c r="BR6" s="61"/>
      <c r="BS6" s="62"/>
      <c r="BT6" s="8"/>
    </row>
    <row r="7" spans="1:72" ht="15" hidden="1" customHeight="1" x14ac:dyDescent="0.3">
      <c r="A7" s="3"/>
      <c r="B7" s="31">
        <v>0.999999999999999</v>
      </c>
      <c r="C7" s="31">
        <v>1.0416666666666701</v>
      </c>
      <c r="D7" s="9"/>
      <c r="E7" s="10"/>
      <c r="F7" s="11"/>
      <c r="G7" s="12"/>
      <c r="H7" s="13"/>
      <c r="I7" s="14"/>
      <c r="J7" s="11"/>
      <c r="K7" s="15"/>
      <c r="L7" s="16"/>
      <c r="M7" s="17"/>
      <c r="N7" s="9"/>
      <c r="O7" s="10"/>
      <c r="P7" s="11"/>
      <c r="Q7" s="12"/>
      <c r="R7" s="13"/>
      <c r="S7" s="14"/>
      <c r="T7" s="11"/>
      <c r="U7" s="15"/>
      <c r="V7" s="16"/>
      <c r="W7" s="17"/>
      <c r="X7" s="9"/>
      <c r="Y7" s="10"/>
      <c r="Z7" s="11"/>
      <c r="AA7" s="12"/>
      <c r="AB7" s="13"/>
      <c r="AC7" s="14"/>
      <c r="AD7" s="11"/>
      <c r="AE7" s="15"/>
      <c r="AF7" s="16"/>
      <c r="AG7" s="17"/>
      <c r="AH7" s="9"/>
      <c r="AI7" s="10"/>
      <c r="AJ7" s="11"/>
      <c r="AK7" s="12"/>
      <c r="AL7" s="13"/>
      <c r="AM7" s="14"/>
      <c r="AN7" s="11"/>
      <c r="AO7" s="15"/>
      <c r="AP7" s="16"/>
      <c r="AQ7" s="17"/>
      <c r="AR7" s="9"/>
      <c r="AS7" s="10"/>
      <c r="AT7" s="11"/>
      <c r="AU7" s="12"/>
      <c r="AV7" s="13"/>
      <c r="AW7" s="14"/>
      <c r="AX7" s="11"/>
      <c r="AY7" s="15"/>
      <c r="AZ7" s="16"/>
      <c r="BA7" s="17"/>
      <c r="BB7" s="9"/>
      <c r="BC7" s="10"/>
      <c r="BD7" s="11"/>
      <c r="BE7" s="12"/>
      <c r="BF7" s="13"/>
      <c r="BG7" s="14"/>
      <c r="BH7" s="11"/>
      <c r="BI7" s="15"/>
      <c r="BJ7" s="16"/>
      <c r="BK7" s="17"/>
      <c r="BL7" s="9"/>
      <c r="BM7" s="10"/>
      <c r="BN7" s="11"/>
      <c r="BO7" s="12"/>
      <c r="BP7" s="13"/>
      <c r="BQ7" s="14"/>
      <c r="BR7" s="11"/>
      <c r="BS7" s="15"/>
      <c r="BT7" s="16"/>
    </row>
    <row r="8" spans="1:72" ht="15" hidden="1" customHeight="1" x14ac:dyDescent="0.3">
      <c r="A8" s="3"/>
      <c r="B8" s="31">
        <v>1.0416666666666601</v>
      </c>
      <c r="C8" s="31">
        <v>1.0833333333333399</v>
      </c>
      <c r="D8" s="9"/>
      <c r="E8" s="10"/>
      <c r="F8" s="11"/>
      <c r="G8" s="12"/>
      <c r="H8" s="13"/>
      <c r="I8" s="14"/>
      <c r="J8" s="11"/>
      <c r="K8" s="15"/>
      <c r="L8" s="16"/>
      <c r="M8" s="17"/>
      <c r="N8" s="9"/>
      <c r="O8" s="10"/>
      <c r="P8" s="11"/>
      <c r="Q8" s="12"/>
      <c r="R8" s="13"/>
      <c r="S8" s="14"/>
      <c r="T8" s="11"/>
      <c r="U8" s="15"/>
      <c r="V8" s="16"/>
      <c r="W8" s="17"/>
      <c r="X8" s="9"/>
      <c r="Y8" s="10"/>
      <c r="Z8" s="11"/>
      <c r="AA8" s="12"/>
      <c r="AB8" s="13"/>
      <c r="AC8" s="14"/>
      <c r="AD8" s="11"/>
      <c r="AE8" s="15"/>
      <c r="AF8" s="16"/>
      <c r="AG8" s="17"/>
      <c r="AH8" s="9"/>
      <c r="AI8" s="10"/>
      <c r="AJ8" s="11"/>
      <c r="AK8" s="12"/>
      <c r="AL8" s="13"/>
      <c r="AM8" s="14"/>
      <c r="AN8" s="11"/>
      <c r="AO8" s="15"/>
      <c r="AP8" s="16"/>
      <c r="AQ8" s="17"/>
      <c r="AR8" s="9"/>
      <c r="AS8" s="10"/>
      <c r="AT8" s="11"/>
      <c r="AU8" s="12"/>
      <c r="AV8" s="13"/>
      <c r="AW8" s="14"/>
      <c r="AX8" s="11"/>
      <c r="AY8" s="15"/>
      <c r="AZ8" s="16"/>
      <c r="BA8" s="17"/>
      <c r="BB8" s="9"/>
      <c r="BC8" s="10"/>
      <c r="BD8" s="11"/>
      <c r="BE8" s="12"/>
      <c r="BF8" s="13"/>
      <c r="BG8" s="14"/>
      <c r="BH8" s="11"/>
      <c r="BI8" s="15"/>
      <c r="BJ8" s="16"/>
      <c r="BK8" s="17"/>
      <c r="BL8" s="9"/>
      <c r="BM8" s="10"/>
      <c r="BN8" s="11"/>
      <c r="BO8" s="12"/>
      <c r="BP8" s="13"/>
      <c r="BQ8" s="14"/>
      <c r="BR8" s="11"/>
      <c r="BS8" s="15"/>
      <c r="BT8" s="16"/>
    </row>
    <row r="9" spans="1:72" ht="15" hidden="1" customHeight="1" x14ac:dyDescent="0.3">
      <c r="A9" s="3"/>
      <c r="B9" s="31">
        <v>1.0833333333333299</v>
      </c>
      <c r="C9" s="31">
        <v>1.125</v>
      </c>
      <c r="D9" s="9"/>
      <c r="E9" s="10"/>
      <c r="F9" s="11"/>
      <c r="G9" s="12"/>
      <c r="H9" s="13"/>
      <c r="I9" s="14"/>
      <c r="J9" s="11"/>
      <c r="K9" s="15"/>
      <c r="L9" s="16"/>
      <c r="M9" s="17"/>
      <c r="N9" s="9"/>
      <c r="O9" s="10"/>
      <c r="P9" s="11"/>
      <c r="Q9" s="12"/>
      <c r="R9" s="13"/>
      <c r="S9" s="14"/>
      <c r="T9" s="11"/>
      <c r="U9" s="15"/>
      <c r="V9" s="16"/>
      <c r="W9" s="17"/>
      <c r="X9" s="9"/>
      <c r="Y9" s="10"/>
      <c r="Z9" s="11"/>
      <c r="AA9" s="12"/>
      <c r="AB9" s="13"/>
      <c r="AC9" s="14"/>
      <c r="AD9" s="11"/>
      <c r="AE9" s="15"/>
      <c r="AF9" s="16"/>
      <c r="AG9" s="17"/>
      <c r="AH9" s="9"/>
      <c r="AI9" s="10"/>
      <c r="AJ9" s="11"/>
      <c r="AK9" s="12"/>
      <c r="AL9" s="13"/>
      <c r="AM9" s="14"/>
      <c r="AN9" s="11"/>
      <c r="AO9" s="15"/>
      <c r="AP9" s="16"/>
      <c r="AQ9" s="17"/>
      <c r="AR9" s="9"/>
      <c r="AS9" s="10"/>
      <c r="AT9" s="11"/>
      <c r="AU9" s="12"/>
      <c r="AV9" s="13"/>
      <c r="AW9" s="14"/>
      <c r="AX9" s="11"/>
      <c r="AY9" s="15"/>
      <c r="AZ9" s="16"/>
      <c r="BA9" s="17"/>
      <c r="BB9" s="9"/>
      <c r="BC9" s="10"/>
      <c r="BD9" s="11"/>
      <c r="BE9" s="12"/>
      <c r="BF9" s="13"/>
      <c r="BG9" s="14"/>
      <c r="BH9" s="11"/>
      <c r="BI9" s="15"/>
      <c r="BJ9" s="16"/>
      <c r="BK9" s="17"/>
      <c r="BL9" s="9"/>
      <c r="BM9" s="10"/>
      <c r="BN9" s="11"/>
      <c r="BO9" s="12"/>
      <c r="BP9" s="13"/>
      <c r="BQ9" s="14"/>
      <c r="BR9" s="11"/>
      <c r="BS9" s="15"/>
      <c r="BT9" s="16"/>
    </row>
    <row r="10" spans="1:72" ht="15" hidden="1" customHeight="1" x14ac:dyDescent="0.3">
      <c r="A10" s="3"/>
      <c r="B10" s="31">
        <v>1.125</v>
      </c>
      <c r="C10" s="31">
        <v>1.1666666666666601</v>
      </c>
      <c r="D10" s="9"/>
      <c r="E10" s="10"/>
      <c r="F10" s="11"/>
      <c r="G10" s="12"/>
      <c r="H10" s="13"/>
      <c r="I10" s="14"/>
      <c r="J10" s="11"/>
      <c r="K10" s="15"/>
      <c r="L10" s="16"/>
      <c r="M10" s="17"/>
      <c r="N10" s="9"/>
      <c r="O10" s="10"/>
      <c r="P10" s="11"/>
      <c r="Q10" s="12"/>
      <c r="R10" s="13"/>
      <c r="S10" s="14"/>
      <c r="T10" s="11"/>
      <c r="U10" s="15"/>
      <c r="V10" s="16"/>
      <c r="W10" s="17"/>
      <c r="X10" s="9"/>
      <c r="Y10" s="10"/>
      <c r="Z10" s="11"/>
      <c r="AA10" s="12"/>
      <c r="AB10" s="13"/>
      <c r="AC10" s="14"/>
      <c r="AD10" s="11"/>
      <c r="AE10" s="15"/>
      <c r="AF10" s="16"/>
      <c r="AG10" s="17"/>
      <c r="AH10" s="9"/>
      <c r="AI10" s="10"/>
      <c r="AJ10" s="11"/>
      <c r="AK10" s="12"/>
      <c r="AL10" s="13"/>
      <c r="AM10" s="14"/>
      <c r="AN10" s="11"/>
      <c r="AO10" s="15"/>
      <c r="AP10" s="16"/>
      <c r="AQ10" s="17"/>
      <c r="AR10" s="9"/>
      <c r="AS10" s="10"/>
      <c r="AT10" s="11"/>
      <c r="AU10" s="12"/>
      <c r="AV10" s="13"/>
      <c r="AW10" s="14"/>
      <c r="AX10" s="11"/>
      <c r="AY10" s="15"/>
      <c r="AZ10" s="16"/>
      <c r="BA10" s="17"/>
      <c r="BB10" s="9"/>
      <c r="BC10" s="10"/>
      <c r="BD10" s="11"/>
      <c r="BE10" s="12"/>
      <c r="BF10" s="13"/>
      <c r="BG10" s="14"/>
      <c r="BH10" s="11"/>
      <c r="BI10" s="15"/>
      <c r="BJ10" s="16"/>
      <c r="BK10" s="17"/>
      <c r="BL10" s="9"/>
      <c r="BM10" s="10"/>
      <c r="BN10" s="11"/>
      <c r="BO10" s="12"/>
      <c r="BP10" s="13"/>
      <c r="BQ10" s="14"/>
      <c r="BR10" s="11"/>
      <c r="BS10" s="15"/>
      <c r="BT10" s="16"/>
    </row>
    <row r="11" spans="1:72" ht="15" hidden="1" customHeight="1" x14ac:dyDescent="0.3">
      <c r="A11" s="3"/>
      <c r="B11" s="31">
        <v>1.1666666666666701</v>
      </c>
      <c r="C11" s="31">
        <v>1.2083333333333199</v>
      </c>
      <c r="D11" s="9"/>
      <c r="E11" s="10"/>
      <c r="F11" s="11"/>
      <c r="G11" s="12"/>
      <c r="H11" s="13"/>
      <c r="I11" s="14"/>
      <c r="J11" s="11"/>
      <c r="K11" s="15"/>
      <c r="L11" s="16"/>
      <c r="M11" s="17"/>
      <c r="N11" s="9"/>
      <c r="O11" s="10"/>
      <c r="P11" s="11"/>
      <c r="Q11" s="12"/>
      <c r="R11" s="13"/>
      <c r="S11" s="14"/>
      <c r="T11" s="11"/>
      <c r="U11" s="15"/>
      <c r="V11" s="16"/>
      <c r="W11" s="17"/>
      <c r="X11" s="9"/>
      <c r="Y11" s="10"/>
      <c r="Z11" s="11"/>
      <c r="AA11" s="12"/>
      <c r="AB11" s="13"/>
      <c r="AC11" s="14"/>
      <c r="AD11" s="11"/>
      <c r="AE11" s="15"/>
      <c r="AF11" s="16"/>
      <c r="AG11" s="17"/>
      <c r="AH11" s="9"/>
      <c r="AI11" s="10"/>
      <c r="AJ11" s="11"/>
      <c r="AK11" s="12"/>
      <c r="AL11" s="13"/>
      <c r="AM11" s="14"/>
      <c r="AN11" s="11"/>
      <c r="AO11" s="15"/>
      <c r="AP11" s="16"/>
      <c r="AQ11" s="17"/>
      <c r="AR11" s="9"/>
      <c r="AS11" s="10"/>
      <c r="AT11" s="11"/>
      <c r="AU11" s="12"/>
      <c r="AV11" s="13"/>
      <c r="AW11" s="14"/>
      <c r="AX11" s="11"/>
      <c r="AY11" s="15"/>
      <c r="AZ11" s="16"/>
      <c r="BA11" s="17"/>
      <c r="BB11" s="9"/>
      <c r="BC11" s="10"/>
      <c r="BD11" s="11"/>
      <c r="BE11" s="12"/>
      <c r="BF11" s="13"/>
      <c r="BG11" s="14"/>
      <c r="BH11" s="11"/>
      <c r="BI11" s="15"/>
      <c r="BJ11" s="16"/>
      <c r="BK11" s="17"/>
      <c r="BL11" s="9"/>
      <c r="BM11" s="10"/>
      <c r="BN11" s="11"/>
      <c r="BO11" s="12"/>
      <c r="BP11" s="13"/>
      <c r="BQ11" s="14"/>
      <c r="BR11" s="11"/>
      <c r="BS11" s="15"/>
      <c r="BT11" s="16"/>
    </row>
    <row r="12" spans="1:72" ht="15" hidden="1" customHeight="1" x14ac:dyDescent="0.3">
      <c r="A12" s="3"/>
      <c r="B12" s="31">
        <v>1.2083333333333399</v>
      </c>
      <c r="C12" s="31">
        <v>1.24999999999998</v>
      </c>
      <c r="D12" s="9"/>
      <c r="E12" s="10"/>
      <c r="F12" s="11"/>
      <c r="G12" s="12"/>
      <c r="H12" s="13"/>
      <c r="I12" s="14"/>
      <c r="J12" s="11"/>
      <c r="K12" s="15"/>
      <c r="L12" s="16"/>
      <c r="M12" s="17"/>
      <c r="N12" s="9"/>
      <c r="O12" s="10"/>
      <c r="P12" s="11"/>
      <c r="Q12" s="12"/>
      <c r="R12" s="13"/>
      <c r="S12" s="14"/>
      <c r="T12" s="11"/>
      <c r="U12" s="15"/>
      <c r="V12" s="16"/>
      <c r="W12" s="17"/>
      <c r="X12" s="9"/>
      <c r="Y12" s="10"/>
      <c r="Z12" s="11"/>
      <c r="AA12" s="12"/>
      <c r="AB12" s="13"/>
      <c r="AC12" s="14"/>
      <c r="AD12" s="11"/>
      <c r="AE12" s="15"/>
      <c r="AF12" s="16"/>
      <c r="AG12" s="17"/>
      <c r="AH12" s="9"/>
      <c r="AI12" s="10"/>
      <c r="AJ12" s="11"/>
      <c r="AK12" s="12"/>
      <c r="AL12" s="13"/>
      <c r="AM12" s="14"/>
      <c r="AN12" s="11"/>
      <c r="AO12" s="15"/>
      <c r="AP12" s="16"/>
      <c r="AQ12" s="17"/>
      <c r="AR12" s="9"/>
      <c r="AS12" s="10"/>
      <c r="AT12" s="11"/>
      <c r="AU12" s="12"/>
      <c r="AV12" s="13"/>
      <c r="AW12" s="14"/>
      <c r="AX12" s="11"/>
      <c r="AY12" s="15"/>
      <c r="AZ12" s="16"/>
      <c r="BA12" s="17"/>
      <c r="BB12" s="9"/>
      <c r="BC12" s="10"/>
      <c r="BD12" s="11"/>
      <c r="BE12" s="12"/>
      <c r="BF12" s="13"/>
      <c r="BG12" s="14"/>
      <c r="BH12" s="11"/>
      <c r="BI12" s="15"/>
      <c r="BJ12" s="16"/>
      <c r="BK12" s="17"/>
      <c r="BL12" s="9"/>
      <c r="BM12" s="10"/>
      <c r="BN12" s="11"/>
      <c r="BO12" s="12"/>
      <c r="BP12" s="13"/>
      <c r="BQ12" s="14"/>
      <c r="BR12" s="11"/>
      <c r="BS12" s="15"/>
      <c r="BT12" s="16"/>
    </row>
    <row r="13" spans="1:72" x14ac:dyDescent="0.3">
      <c r="A13" s="3"/>
      <c r="B13" s="31">
        <v>1.25000000000001</v>
      </c>
      <c r="C13" s="31">
        <v>1.2916666666666401</v>
      </c>
      <c r="D13" s="81"/>
      <c r="E13" s="14"/>
      <c r="F13" s="12"/>
      <c r="G13" s="68"/>
      <c r="H13" s="82"/>
      <c r="I13" s="14"/>
      <c r="J13" s="11"/>
      <c r="K13" s="83"/>
      <c r="L13" s="16"/>
      <c r="M13" s="17"/>
      <c r="N13" s="81"/>
      <c r="O13" s="14"/>
      <c r="P13" s="84"/>
      <c r="Q13" s="68"/>
      <c r="R13" s="82"/>
      <c r="S13" s="14"/>
      <c r="T13" s="11"/>
      <c r="U13" s="83"/>
      <c r="V13" s="16"/>
      <c r="W13" s="17"/>
      <c r="X13" s="81"/>
      <c r="Y13" s="14"/>
      <c r="Z13" s="12"/>
      <c r="AA13" s="68"/>
      <c r="AB13" s="82"/>
      <c r="AC13" s="14"/>
      <c r="AD13" s="11"/>
      <c r="AE13" s="83"/>
      <c r="AF13" s="16"/>
      <c r="AG13" s="17"/>
      <c r="AH13" s="81"/>
      <c r="AI13" s="14"/>
      <c r="AJ13" s="12"/>
      <c r="AK13" s="68"/>
      <c r="AL13" s="82"/>
      <c r="AM13" s="14"/>
      <c r="AN13" s="11"/>
      <c r="AO13" s="83"/>
      <c r="AP13" s="16"/>
      <c r="AQ13" s="17"/>
      <c r="AR13" s="81"/>
      <c r="AS13" s="14"/>
      <c r="AT13" s="12"/>
      <c r="AU13" s="68"/>
      <c r="AV13" s="82"/>
      <c r="AW13" s="14"/>
      <c r="AX13" s="11"/>
      <c r="AY13" s="83"/>
      <c r="AZ13" s="16"/>
      <c r="BA13" s="17"/>
      <c r="BB13" s="81"/>
      <c r="BC13" s="14"/>
      <c r="BD13" s="12"/>
      <c r="BE13" s="68"/>
      <c r="BF13" s="82"/>
      <c r="BG13" s="14"/>
      <c r="BH13" s="11"/>
      <c r="BI13" s="83"/>
      <c r="BJ13" s="16"/>
      <c r="BK13" s="17"/>
      <c r="BL13" s="81"/>
      <c r="BM13" s="14"/>
      <c r="BN13" s="12"/>
      <c r="BO13" s="68"/>
      <c r="BP13" s="82"/>
      <c r="BQ13" s="14"/>
      <c r="BR13" s="11"/>
      <c r="BS13" s="83"/>
      <c r="BT13" s="16"/>
    </row>
    <row r="14" spans="1:72" x14ac:dyDescent="0.3">
      <c r="A14" s="3"/>
      <c r="B14" s="31">
        <v>1.2916666666666801</v>
      </c>
      <c r="C14" s="31">
        <v>1.3333333333333</v>
      </c>
      <c r="D14" s="81"/>
      <c r="E14" s="14"/>
      <c r="F14" s="12"/>
      <c r="G14" s="68"/>
      <c r="H14" s="82"/>
      <c r="I14" s="14"/>
      <c r="J14" s="11"/>
      <c r="K14" s="83"/>
      <c r="L14" s="16"/>
      <c r="M14" s="17"/>
      <c r="N14" s="81"/>
      <c r="O14" s="14"/>
      <c r="P14" s="14"/>
      <c r="Q14" s="14"/>
      <c r="R14" s="82"/>
      <c r="S14" s="14"/>
      <c r="T14" s="11"/>
      <c r="U14" s="83"/>
      <c r="V14" s="16"/>
      <c r="W14" s="17"/>
      <c r="X14" s="81"/>
      <c r="Y14" s="14"/>
      <c r="Z14" s="12"/>
      <c r="AA14" s="68"/>
      <c r="AB14" s="82"/>
      <c r="AC14" s="14"/>
      <c r="AD14" s="11"/>
      <c r="AE14" s="83"/>
      <c r="AF14" s="16"/>
      <c r="AG14" s="17"/>
      <c r="AH14" s="81"/>
      <c r="AI14" s="14"/>
      <c r="AJ14" s="12"/>
      <c r="AK14" s="68"/>
      <c r="AL14" s="82"/>
      <c r="AM14" s="14"/>
      <c r="AN14" s="11"/>
      <c r="AO14" s="83"/>
      <c r="AP14" s="16"/>
      <c r="AQ14" s="17"/>
      <c r="AR14" s="81"/>
      <c r="AS14" s="14"/>
      <c r="AT14" s="12"/>
      <c r="AU14" s="68"/>
      <c r="AV14" s="82"/>
      <c r="AW14" s="14"/>
      <c r="AX14" s="11"/>
      <c r="AY14" s="83"/>
      <c r="AZ14" s="16"/>
      <c r="BA14" s="17"/>
      <c r="BB14" s="81"/>
      <c r="BC14" s="14"/>
      <c r="BD14" s="12"/>
      <c r="BE14" s="68"/>
      <c r="BF14" s="82"/>
      <c r="BG14" s="14"/>
      <c r="BH14" s="11"/>
      <c r="BI14" s="83"/>
      <c r="BJ14" s="16"/>
      <c r="BK14" s="17"/>
      <c r="BL14" s="81"/>
      <c r="BM14" s="14"/>
      <c r="BN14" s="12"/>
      <c r="BO14" s="68"/>
      <c r="BP14" s="82"/>
      <c r="BQ14" s="14"/>
      <c r="BR14" s="11"/>
      <c r="BS14" s="83"/>
      <c r="BT14" s="16"/>
    </row>
    <row r="15" spans="1:72" x14ac:dyDescent="0.3">
      <c r="B15" s="49">
        <v>0.33333333333333298</v>
      </c>
      <c r="C15" s="49">
        <v>0.375</v>
      </c>
      <c r="D15" s="81"/>
      <c r="E15" s="14"/>
      <c r="F15" s="12"/>
      <c r="G15" s="68"/>
      <c r="H15" s="82"/>
      <c r="I15" s="14"/>
      <c r="J15" s="11"/>
      <c r="K15" s="83"/>
      <c r="L15" s="44"/>
      <c r="M15" s="45"/>
      <c r="N15" s="81"/>
      <c r="O15" s="14"/>
      <c r="P15" s="84"/>
      <c r="Q15" s="14"/>
      <c r="R15" s="82"/>
      <c r="S15" s="14"/>
      <c r="T15" s="11"/>
      <c r="U15" s="83"/>
      <c r="V15" s="44"/>
      <c r="W15" s="45"/>
      <c r="X15" s="81"/>
      <c r="Y15" s="14"/>
      <c r="Z15" s="12"/>
      <c r="AA15" s="68"/>
      <c r="AB15" s="82"/>
      <c r="AC15" s="14"/>
      <c r="AD15" s="11"/>
      <c r="AE15" s="83"/>
      <c r="AF15" s="44"/>
      <c r="AG15" s="45"/>
      <c r="AH15" s="81"/>
      <c r="AI15" s="14"/>
      <c r="AJ15" s="12"/>
      <c r="AK15" s="68"/>
      <c r="AL15" s="82"/>
      <c r="AM15" s="14"/>
      <c r="AN15" s="11"/>
      <c r="AO15" s="83"/>
      <c r="AP15" s="44"/>
      <c r="AQ15" s="45"/>
      <c r="AR15" s="81"/>
      <c r="AS15" s="14"/>
      <c r="AT15" s="12"/>
      <c r="AU15" s="68"/>
      <c r="AV15" s="82"/>
      <c r="AW15" s="14"/>
      <c r="AX15" s="11"/>
      <c r="AY15" s="83"/>
      <c r="AZ15" s="44"/>
      <c r="BA15" s="45"/>
      <c r="BB15" s="81"/>
      <c r="BC15" s="14"/>
      <c r="BD15" s="12"/>
      <c r="BE15" s="68"/>
      <c r="BF15" s="82"/>
      <c r="BG15" s="14"/>
      <c r="BH15" s="11"/>
      <c r="BI15" s="83"/>
      <c r="BJ15" s="44"/>
      <c r="BK15" s="45"/>
      <c r="BL15" s="81"/>
      <c r="BM15" s="14"/>
      <c r="BN15" s="12"/>
      <c r="BO15" s="68"/>
      <c r="BP15" s="82"/>
      <c r="BQ15" s="14"/>
      <c r="BR15" s="11"/>
      <c r="BS15" s="83"/>
      <c r="BT15" s="44"/>
    </row>
    <row r="16" spans="1:72" x14ac:dyDescent="0.3">
      <c r="B16" s="49">
        <v>0.375</v>
      </c>
      <c r="C16" s="49">
        <v>0.41666666666666702</v>
      </c>
      <c r="D16" s="81"/>
      <c r="E16" s="14"/>
      <c r="F16" s="12"/>
      <c r="G16" s="68"/>
      <c r="H16" s="82"/>
      <c r="I16" s="14"/>
      <c r="J16" s="11"/>
      <c r="K16" s="83"/>
      <c r="L16" s="44"/>
      <c r="M16" s="45"/>
      <c r="N16" s="81"/>
      <c r="O16" s="14"/>
      <c r="P16" s="84"/>
      <c r="Q16" s="14"/>
      <c r="R16" s="82"/>
      <c r="S16" s="14"/>
      <c r="T16" s="11"/>
      <c r="U16" s="83"/>
      <c r="V16" s="44"/>
      <c r="W16" s="45"/>
      <c r="X16" s="81"/>
      <c r="Y16" s="14"/>
      <c r="Z16" s="12"/>
      <c r="AA16" s="68"/>
      <c r="AB16" s="82"/>
      <c r="AC16" s="14"/>
      <c r="AD16" s="11"/>
      <c r="AE16" s="83"/>
      <c r="AF16" s="44"/>
      <c r="AG16" s="45"/>
      <c r="AH16" s="81"/>
      <c r="AI16" s="14"/>
      <c r="AJ16" s="12"/>
      <c r="AK16" s="68"/>
      <c r="AL16" s="82"/>
      <c r="AM16" s="14"/>
      <c r="AN16" s="11"/>
      <c r="AO16" s="83"/>
      <c r="AP16" s="44"/>
      <c r="AQ16" s="45"/>
      <c r="AR16" s="81"/>
      <c r="AS16" s="14"/>
      <c r="AT16" s="12"/>
      <c r="AU16" s="68"/>
      <c r="AV16" s="82"/>
      <c r="AW16" s="14"/>
      <c r="AX16" s="11"/>
      <c r="AY16" s="83"/>
      <c r="AZ16" s="44"/>
      <c r="BA16" s="45"/>
      <c r="BB16" s="81"/>
      <c r="BC16" s="14"/>
      <c r="BD16" s="12"/>
      <c r="BE16" s="68"/>
      <c r="BF16" s="82"/>
      <c r="BG16" s="14"/>
      <c r="BH16" s="11"/>
      <c r="BI16" s="83"/>
      <c r="BJ16" s="44"/>
      <c r="BK16" s="45"/>
      <c r="BL16" s="81"/>
      <c r="BM16" s="14"/>
      <c r="BN16" s="12"/>
      <c r="BO16" s="68"/>
      <c r="BP16" s="82"/>
      <c r="BQ16" s="14"/>
      <c r="BR16" s="11"/>
      <c r="BS16" s="83"/>
      <c r="BT16" s="44"/>
    </row>
    <row r="17" spans="1:72" x14ac:dyDescent="0.3">
      <c r="A17" s="3"/>
      <c r="B17" s="1">
        <v>0.41666666666666669</v>
      </c>
      <c r="C17" s="1">
        <v>0.45833333333333331</v>
      </c>
      <c r="D17" s="66">
        <v>1</v>
      </c>
      <c r="E17" s="43"/>
      <c r="F17" s="42"/>
      <c r="G17" s="67"/>
      <c r="H17" s="69"/>
      <c r="I17" s="43"/>
      <c r="J17" s="41"/>
      <c r="K17" s="70"/>
      <c r="L17" s="44"/>
      <c r="M17" s="45"/>
      <c r="N17" s="66"/>
      <c r="O17" s="43"/>
      <c r="P17" s="42"/>
      <c r="Q17" s="67"/>
      <c r="R17" s="69"/>
      <c r="S17" s="43"/>
      <c r="T17" s="41"/>
      <c r="U17" s="70"/>
      <c r="V17" s="44"/>
      <c r="W17" s="45"/>
      <c r="X17" s="66"/>
      <c r="Y17" s="43"/>
      <c r="Z17" s="42"/>
      <c r="AA17" s="67"/>
      <c r="AB17" s="69"/>
      <c r="AC17" s="43"/>
      <c r="AD17" s="41"/>
      <c r="AE17" s="70"/>
      <c r="AF17" s="44"/>
      <c r="AG17" s="45"/>
      <c r="AH17" s="66"/>
      <c r="AI17" s="43"/>
      <c r="AJ17" s="42"/>
      <c r="AK17" s="67"/>
      <c r="AL17" s="69"/>
      <c r="AM17" s="43"/>
      <c r="AN17" s="41"/>
      <c r="AO17" s="70"/>
      <c r="AP17" s="44"/>
      <c r="AQ17" s="45"/>
      <c r="AR17" s="66"/>
      <c r="AS17" s="43"/>
      <c r="AT17" s="42"/>
      <c r="AU17" s="67"/>
      <c r="AV17" s="69"/>
      <c r="AW17" s="43"/>
      <c r="AX17" s="41"/>
      <c r="AY17" s="70"/>
      <c r="AZ17" s="44"/>
      <c r="BA17" s="45"/>
      <c r="BB17" s="66"/>
      <c r="BC17" s="43"/>
      <c r="BD17" s="42"/>
      <c r="BE17" s="67"/>
      <c r="BF17" s="69"/>
      <c r="BG17" s="43"/>
      <c r="BH17" s="41"/>
      <c r="BI17" s="70"/>
      <c r="BJ17" s="44"/>
      <c r="BK17" s="45"/>
      <c r="BL17" s="66"/>
      <c r="BM17" s="43"/>
      <c r="BN17" s="42"/>
      <c r="BO17" s="67"/>
      <c r="BP17" s="69"/>
      <c r="BQ17" s="43"/>
      <c r="BR17" s="41"/>
      <c r="BS17" s="70"/>
      <c r="BT17" s="44"/>
    </row>
    <row r="18" spans="1:72" ht="15" customHeight="1" x14ac:dyDescent="0.3">
      <c r="A18" s="3"/>
      <c r="B18" s="1">
        <v>0.45833333333333331</v>
      </c>
      <c r="C18" s="1">
        <v>0.5</v>
      </c>
      <c r="D18" s="66">
        <v>1</v>
      </c>
      <c r="E18" s="43"/>
      <c r="F18" s="42"/>
      <c r="G18" s="67"/>
      <c r="H18" s="69"/>
      <c r="I18" s="43"/>
      <c r="J18" s="41"/>
      <c r="K18" s="70"/>
      <c r="L18" s="44"/>
      <c r="M18" s="45"/>
      <c r="N18" s="66"/>
      <c r="O18" s="43"/>
      <c r="P18" s="42"/>
      <c r="Q18" s="67"/>
      <c r="R18" s="69"/>
      <c r="S18" s="43"/>
      <c r="T18" s="41"/>
      <c r="U18" s="70"/>
      <c r="V18" s="44"/>
      <c r="W18" s="45"/>
      <c r="X18" s="66"/>
      <c r="Y18" s="43"/>
      <c r="Z18" s="42"/>
      <c r="AA18" s="67"/>
      <c r="AB18" s="69"/>
      <c r="AC18" s="43"/>
      <c r="AD18" s="41"/>
      <c r="AE18" s="70"/>
      <c r="AF18" s="44"/>
      <c r="AG18" s="45"/>
      <c r="AH18" s="66"/>
      <c r="AI18" s="43"/>
      <c r="AJ18" s="42"/>
      <c r="AK18" s="67"/>
      <c r="AL18" s="69"/>
      <c r="AM18" s="43"/>
      <c r="AN18" s="41"/>
      <c r="AO18" s="70"/>
      <c r="AP18" s="44"/>
      <c r="AQ18" s="45"/>
      <c r="AR18" s="66"/>
      <c r="AS18" s="43"/>
      <c r="AT18" s="42"/>
      <c r="AU18" s="67"/>
      <c r="AV18" s="69"/>
      <c r="AW18" s="43"/>
      <c r="AX18" s="41"/>
      <c r="AY18" s="70"/>
      <c r="AZ18" s="44"/>
      <c r="BA18" s="45"/>
      <c r="BB18" s="66"/>
      <c r="BC18" s="43"/>
      <c r="BD18" s="42"/>
      <c r="BE18" s="67"/>
      <c r="BF18" s="69"/>
      <c r="BG18" s="43"/>
      <c r="BH18" s="41"/>
      <c r="BI18" s="70"/>
      <c r="BJ18" s="44"/>
      <c r="BK18" s="45"/>
      <c r="BL18" s="66"/>
      <c r="BM18" s="43"/>
      <c r="BN18" s="42"/>
      <c r="BO18" s="67"/>
      <c r="BP18" s="69"/>
      <c r="BQ18" s="43"/>
      <c r="BR18" s="41"/>
      <c r="BS18" s="70"/>
      <c r="BT18" s="44"/>
    </row>
    <row r="19" spans="1:72" x14ac:dyDescent="0.3">
      <c r="A19" s="3"/>
      <c r="B19" s="1">
        <v>0.5</v>
      </c>
      <c r="C19" s="1">
        <v>0.54166666666666663</v>
      </c>
      <c r="D19" s="66">
        <v>1</v>
      </c>
      <c r="E19" s="43"/>
      <c r="F19" s="42"/>
      <c r="G19" s="67"/>
      <c r="H19" s="69"/>
      <c r="I19" s="43"/>
      <c r="J19" s="41"/>
      <c r="K19" s="70"/>
      <c r="L19" s="44"/>
      <c r="M19" s="45"/>
      <c r="N19" s="66"/>
      <c r="O19" s="43"/>
      <c r="P19" s="67"/>
      <c r="Q19" s="67"/>
      <c r="R19" s="69"/>
      <c r="S19" s="43"/>
      <c r="T19" s="41"/>
      <c r="U19" s="70"/>
      <c r="V19" s="44"/>
      <c r="W19" s="45"/>
      <c r="X19" s="43"/>
      <c r="Y19" s="43"/>
      <c r="Z19" s="42"/>
      <c r="AA19" s="67"/>
      <c r="AB19" s="69"/>
      <c r="AC19" s="43"/>
      <c r="AD19" s="41"/>
      <c r="AE19" s="70"/>
      <c r="AF19" s="44"/>
      <c r="AG19" s="45"/>
      <c r="AH19" s="66"/>
      <c r="AI19" s="43"/>
      <c r="AJ19" s="67"/>
      <c r="AK19" s="67"/>
      <c r="AL19" s="69"/>
      <c r="AM19" s="43"/>
      <c r="AN19" s="41"/>
      <c r="AO19" s="70"/>
      <c r="AP19" s="44"/>
      <c r="AQ19" s="45"/>
      <c r="AR19" s="66"/>
      <c r="AS19" s="42"/>
      <c r="AT19" s="42"/>
      <c r="AU19" s="67"/>
      <c r="AV19" s="69"/>
      <c r="AW19" s="43"/>
      <c r="AX19" s="41"/>
      <c r="AY19" s="70"/>
      <c r="AZ19" s="44"/>
      <c r="BA19" s="45"/>
      <c r="BB19" s="43"/>
      <c r="BC19" s="43"/>
      <c r="BD19" s="42"/>
      <c r="BE19" s="67"/>
      <c r="BF19" s="69"/>
      <c r="BG19" s="43"/>
      <c r="BH19" s="41"/>
      <c r="BI19" s="70"/>
      <c r="BJ19" s="44"/>
      <c r="BK19" s="45"/>
      <c r="BL19" s="66"/>
      <c r="BM19" s="43"/>
      <c r="BN19" s="42"/>
      <c r="BO19" s="67"/>
      <c r="BP19" s="69"/>
      <c r="BQ19" s="43"/>
      <c r="BR19" s="41"/>
      <c r="BS19" s="70"/>
      <c r="BT19" s="44"/>
    </row>
    <row r="20" spans="1:72" ht="15" customHeight="1" x14ac:dyDescent="0.3">
      <c r="A20" s="3"/>
      <c r="B20" s="1">
        <v>0.54166666666666663</v>
      </c>
      <c r="C20" s="1">
        <v>0.58333333333333304</v>
      </c>
      <c r="D20" s="66"/>
      <c r="E20" s="43"/>
      <c r="F20" s="42"/>
      <c r="G20" s="67"/>
      <c r="H20" s="69"/>
      <c r="I20" s="43"/>
      <c r="J20" s="41"/>
      <c r="K20" s="70"/>
      <c r="L20" s="44"/>
      <c r="M20" s="46"/>
      <c r="N20" s="66"/>
      <c r="O20" s="43"/>
      <c r="P20" s="42"/>
      <c r="Q20" s="67"/>
      <c r="R20" s="69"/>
      <c r="S20" s="43"/>
      <c r="T20" s="41"/>
      <c r="U20" s="70"/>
      <c r="V20" s="44"/>
      <c r="W20" s="46"/>
      <c r="X20" s="66"/>
      <c r="Y20" s="43"/>
      <c r="Z20" s="42"/>
      <c r="AA20" s="67"/>
      <c r="AB20" s="69"/>
      <c r="AC20" s="43"/>
      <c r="AD20" s="41"/>
      <c r="AE20" s="70"/>
      <c r="AF20" s="44"/>
      <c r="AG20" s="46"/>
      <c r="AH20" s="66"/>
      <c r="AI20" s="43"/>
      <c r="AJ20" s="42"/>
      <c r="AK20" s="67"/>
      <c r="AL20" s="69"/>
      <c r="AM20" s="43"/>
      <c r="AN20" s="41"/>
      <c r="AO20" s="70"/>
      <c r="AP20" s="44"/>
      <c r="AQ20" s="46"/>
      <c r="AR20" s="66"/>
      <c r="AS20" s="43"/>
      <c r="AT20" s="42"/>
      <c r="AU20" s="67"/>
      <c r="AV20" s="69"/>
      <c r="AW20" s="43"/>
      <c r="AX20" s="41"/>
      <c r="AY20" s="70"/>
      <c r="AZ20" s="44"/>
      <c r="BA20" s="46"/>
      <c r="BB20" s="66"/>
      <c r="BC20" s="43"/>
      <c r="BD20" s="42"/>
      <c r="BE20" s="67"/>
      <c r="BF20" s="69"/>
      <c r="BG20" s="43"/>
      <c r="BH20" s="41"/>
      <c r="BI20" s="70"/>
      <c r="BJ20" s="44"/>
      <c r="BK20" s="46"/>
      <c r="BL20" s="66"/>
      <c r="BM20" s="43"/>
      <c r="BN20" s="67"/>
      <c r="BO20" s="67"/>
      <c r="BP20" s="69"/>
      <c r="BQ20" s="43"/>
      <c r="BR20" s="41"/>
      <c r="BS20" s="70"/>
      <c r="BT20" s="44"/>
    </row>
    <row r="21" spans="1:72" ht="15" customHeight="1" x14ac:dyDescent="0.3">
      <c r="A21" s="3" t="s">
        <v>2</v>
      </c>
      <c r="B21" s="1">
        <v>0.58333333333333304</v>
      </c>
      <c r="C21" s="1">
        <v>0.625</v>
      </c>
      <c r="D21" s="66">
        <v>1</v>
      </c>
      <c r="E21" s="43"/>
      <c r="F21" s="42"/>
      <c r="G21" s="67"/>
      <c r="H21" s="69"/>
      <c r="I21" s="43"/>
      <c r="J21" s="41"/>
      <c r="K21" s="70"/>
      <c r="L21" s="44"/>
      <c r="M21" s="45"/>
      <c r="N21" s="66"/>
      <c r="O21" s="43"/>
      <c r="P21" s="42"/>
      <c r="Q21" s="67"/>
      <c r="R21" s="69"/>
      <c r="S21" s="43"/>
      <c r="T21" s="41"/>
      <c r="U21" s="70"/>
      <c r="V21" s="44"/>
      <c r="W21" s="45"/>
      <c r="X21" s="66"/>
      <c r="Y21" s="43"/>
      <c r="Z21" s="42"/>
      <c r="AA21" s="67"/>
      <c r="AB21" s="69"/>
      <c r="AC21" s="43"/>
      <c r="AD21" s="41"/>
      <c r="AE21" s="70"/>
      <c r="AF21" s="44"/>
      <c r="AG21" s="45"/>
      <c r="AH21" s="43"/>
      <c r="AI21" s="43"/>
      <c r="AJ21" s="42"/>
      <c r="AK21" s="67"/>
      <c r="AL21" s="69"/>
      <c r="AM21" s="43"/>
      <c r="AN21" s="41"/>
      <c r="AO21" s="70"/>
      <c r="AP21" s="44"/>
      <c r="AQ21" s="45"/>
      <c r="AR21" s="66"/>
      <c r="AS21" s="43"/>
      <c r="AT21" s="42"/>
      <c r="AU21" s="67"/>
      <c r="AV21" s="69"/>
      <c r="AW21" s="43"/>
      <c r="AX21" s="41"/>
      <c r="AY21" s="70"/>
      <c r="AZ21" s="44"/>
      <c r="BA21" s="45"/>
      <c r="BB21" s="66"/>
      <c r="BC21" s="43"/>
      <c r="BD21" s="42"/>
      <c r="BE21" s="67"/>
      <c r="BF21" s="69"/>
      <c r="BG21" s="43"/>
      <c r="BH21" s="41"/>
      <c r="BI21" s="70"/>
      <c r="BJ21" s="44"/>
      <c r="BK21" s="45"/>
      <c r="BL21" s="66"/>
      <c r="BM21" s="43"/>
      <c r="BN21" s="42"/>
      <c r="BO21" s="67"/>
      <c r="BP21" s="69"/>
      <c r="BQ21" s="43"/>
      <c r="BR21" s="41"/>
      <c r="BS21" s="70"/>
      <c r="BT21" s="44"/>
    </row>
    <row r="22" spans="1:72" ht="15" customHeight="1" x14ac:dyDescent="0.3">
      <c r="A22" s="3"/>
      <c r="B22" s="1">
        <v>0.625</v>
      </c>
      <c r="C22" s="1">
        <v>0.66666666666666696</v>
      </c>
      <c r="D22" s="66">
        <v>1</v>
      </c>
      <c r="E22" s="43"/>
      <c r="F22" s="42"/>
      <c r="G22" s="67"/>
      <c r="H22" s="69"/>
      <c r="I22" s="43"/>
      <c r="J22" s="41"/>
      <c r="K22" s="70"/>
      <c r="L22" s="44"/>
      <c r="M22" s="45"/>
      <c r="N22" s="66"/>
      <c r="O22" s="43"/>
      <c r="P22" s="42"/>
      <c r="Q22" s="69"/>
      <c r="R22" s="69"/>
      <c r="S22" s="43"/>
      <c r="T22" s="41"/>
      <c r="U22" s="70"/>
      <c r="V22" s="44"/>
      <c r="W22" s="45"/>
      <c r="X22" s="66"/>
      <c r="Y22" s="43"/>
      <c r="Z22" s="67"/>
      <c r="AA22" s="69"/>
      <c r="AB22" s="69"/>
      <c r="AC22" s="43"/>
      <c r="AD22" s="41"/>
      <c r="AE22" s="70"/>
      <c r="AF22" s="44"/>
      <c r="AG22" s="45"/>
      <c r="AH22" s="66"/>
      <c r="AI22" s="42"/>
      <c r="AJ22" s="42"/>
      <c r="AK22" s="67"/>
      <c r="AL22" s="69"/>
      <c r="AM22" s="43"/>
      <c r="AN22" s="41"/>
      <c r="AO22" s="70"/>
      <c r="AP22" s="44"/>
      <c r="AQ22" s="45"/>
      <c r="AR22" s="66"/>
      <c r="AS22" s="43"/>
      <c r="AT22" s="67"/>
      <c r="AU22" s="67"/>
      <c r="AV22" s="69"/>
      <c r="AW22" s="43"/>
      <c r="AX22" s="41"/>
      <c r="AY22" s="70"/>
      <c r="AZ22" s="44"/>
      <c r="BA22" s="45"/>
      <c r="BB22" s="66"/>
      <c r="BC22" s="69"/>
      <c r="BD22" s="69"/>
      <c r="BE22" s="69"/>
      <c r="BF22" s="69"/>
      <c r="BG22" s="43"/>
      <c r="BH22" s="41"/>
      <c r="BI22" s="70"/>
      <c r="BJ22" s="44"/>
      <c r="BK22" s="45"/>
      <c r="BL22" s="66"/>
      <c r="BM22" s="43"/>
      <c r="BN22" s="42"/>
      <c r="BO22" s="69"/>
      <c r="BP22" s="69"/>
      <c r="BQ22" s="43"/>
      <c r="BR22" s="41"/>
      <c r="BS22" s="70"/>
      <c r="BT22" s="44"/>
    </row>
    <row r="23" spans="1:72" x14ac:dyDescent="0.3">
      <c r="A23" s="3"/>
      <c r="B23" s="1">
        <v>0.66666666666666696</v>
      </c>
      <c r="C23" s="1">
        <v>0.70833333333333304</v>
      </c>
      <c r="D23" s="66"/>
      <c r="E23" s="43"/>
      <c r="F23" s="42"/>
      <c r="G23" s="67"/>
      <c r="H23" s="69"/>
      <c r="I23" s="43"/>
      <c r="J23" s="41"/>
      <c r="K23" s="70"/>
      <c r="L23" s="44"/>
      <c r="M23" s="45"/>
      <c r="N23" s="66"/>
      <c r="O23" s="42"/>
      <c r="P23" s="42"/>
      <c r="Q23" s="67"/>
      <c r="R23" s="69"/>
      <c r="S23" s="43"/>
      <c r="T23" s="41"/>
      <c r="U23" s="70"/>
      <c r="V23" s="44"/>
      <c r="W23" s="45"/>
      <c r="X23" s="66"/>
      <c r="Y23" s="43"/>
      <c r="Z23" s="42"/>
      <c r="AA23" s="67"/>
      <c r="AB23" s="69"/>
      <c r="AC23" s="43"/>
      <c r="AD23" s="41"/>
      <c r="AE23" s="70"/>
      <c r="AF23" s="44"/>
      <c r="AG23" s="45"/>
      <c r="AH23" s="66"/>
      <c r="AI23" s="43"/>
      <c r="AJ23" s="42"/>
      <c r="AK23" s="67"/>
      <c r="AL23" s="69"/>
      <c r="AM23" s="43"/>
      <c r="AN23" s="41"/>
      <c r="AO23" s="70"/>
      <c r="AP23" s="44"/>
      <c r="AQ23" s="45"/>
      <c r="AR23" s="66"/>
      <c r="AS23" s="43"/>
      <c r="AT23" s="42"/>
      <c r="AU23" s="67"/>
      <c r="AV23" s="69"/>
      <c r="AW23" s="43"/>
      <c r="AX23" s="41"/>
      <c r="AY23" s="70"/>
      <c r="AZ23" s="44"/>
      <c r="BA23" s="45"/>
      <c r="BB23" s="66"/>
      <c r="BC23" s="43"/>
      <c r="BD23" s="42"/>
      <c r="BE23" s="67"/>
      <c r="BF23" s="69"/>
      <c r="BG23" s="43"/>
      <c r="BH23" s="41"/>
      <c r="BI23" s="70"/>
      <c r="BJ23" s="44"/>
      <c r="BK23" s="45"/>
      <c r="BL23" s="66"/>
      <c r="BM23" s="66"/>
      <c r="BN23" s="42"/>
      <c r="BO23" s="67"/>
      <c r="BP23" s="69"/>
      <c r="BQ23" s="43"/>
      <c r="BR23" s="41"/>
      <c r="BS23" s="70"/>
      <c r="BT23" s="44"/>
    </row>
    <row r="24" spans="1:72" x14ac:dyDescent="0.3">
      <c r="B24" s="1">
        <v>0.70833333333333337</v>
      </c>
      <c r="C24" s="1">
        <v>0.75</v>
      </c>
      <c r="D24" s="66"/>
      <c r="E24" s="43"/>
      <c r="F24" s="42"/>
      <c r="G24" s="67"/>
      <c r="H24" s="69"/>
      <c r="I24" s="43"/>
      <c r="J24" s="41"/>
      <c r="K24" s="70"/>
      <c r="L24" s="44"/>
      <c r="M24" s="45"/>
      <c r="N24" s="66"/>
      <c r="O24" s="43"/>
      <c r="P24" s="42"/>
      <c r="Q24" s="67"/>
      <c r="R24" s="69"/>
      <c r="S24" s="43"/>
      <c r="T24" s="41"/>
      <c r="U24" s="70"/>
      <c r="V24" s="44"/>
      <c r="W24" s="45"/>
      <c r="X24" s="66"/>
      <c r="Y24" s="43"/>
      <c r="Z24" s="42"/>
      <c r="AA24" s="67"/>
      <c r="AB24" s="69"/>
      <c r="AC24" s="43"/>
      <c r="AD24" s="41"/>
      <c r="AE24" s="70"/>
      <c r="AF24" s="44"/>
      <c r="AG24" s="45"/>
      <c r="AH24" s="66"/>
      <c r="AI24" s="43"/>
      <c r="AJ24" s="42"/>
      <c r="AK24" s="67"/>
      <c r="AL24" s="69"/>
      <c r="AM24" s="43"/>
      <c r="AN24" s="41"/>
      <c r="AO24" s="70"/>
      <c r="AP24" s="44"/>
      <c r="AQ24" s="45"/>
      <c r="AR24" s="66"/>
      <c r="AS24" s="43"/>
      <c r="AT24" s="42"/>
      <c r="AU24" s="67"/>
      <c r="AV24" s="69"/>
      <c r="AW24" s="43"/>
      <c r="AX24" s="41"/>
      <c r="AY24" s="70"/>
      <c r="AZ24" s="44"/>
      <c r="BA24" s="45"/>
      <c r="BB24" s="66"/>
      <c r="BC24" s="43"/>
      <c r="BD24" s="42"/>
      <c r="BE24" s="67"/>
      <c r="BF24" s="69"/>
      <c r="BG24" s="43"/>
      <c r="BH24" s="41"/>
      <c r="BI24" s="70"/>
      <c r="BJ24" s="44"/>
      <c r="BK24" s="45"/>
      <c r="BL24" s="66"/>
      <c r="BM24" s="43"/>
      <c r="BN24" s="42"/>
      <c r="BO24" s="67"/>
      <c r="BP24" s="69"/>
      <c r="BQ24" s="43"/>
      <c r="BR24" s="41"/>
      <c r="BS24" s="70"/>
      <c r="BT24" s="44"/>
    </row>
    <row r="25" spans="1:72" x14ac:dyDescent="0.3">
      <c r="A25" s="3"/>
      <c r="B25" s="1">
        <v>0.75</v>
      </c>
      <c r="C25" s="1">
        <v>0.79166666666666696</v>
      </c>
      <c r="D25" s="66"/>
      <c r="E25" s="43"/>
      <c r="F25" s="42"/>
      <c r="G25" s="67"/>
      <c r="H25" s="69"/>
      <c r="I25" s="43"/>
      <c r="J25" s="41"/>
      <c r="K25" s="70"/>
      <c r="L25" s="44"/>
      <c r="M25" s="45"/>
      <c r="N25" s="66"/>
      <c r="O25" s="43"/>
      <c r="P25" s="42"/>
      <c r="Q25" s="67"/>
      <c r="R25" s="69"/>
      <c r="S25" s="43"/>
      <c r="T25" s="41"/>
      <c r="U25" s="70"/>
      <c r="V25" s="44"/>
      <c r="W25" s="45"/>
      <c r="X25" s="66"/>
      <c r="Y25" s="43"/>
      <c r="Z25" s="42"/>
      <c r="AA25" s="67"/>
      <c r="AB25" s="69"/>
      <c r="AC25" s="43"/>
      <c r="AD25" s="41"/>
      <c r="AE25" s="70"/>
      <c r="AF25" s="44"/>
      <c r="AG25" s="45"/>
      <c r="AH25" s="66"/>
      <c r="AI25" s="43"/>
      <c r="AJ25" s="42"/>
      <c r="AK25" s="67"/>
      <c r="AL25" s="69"/>
      <c r="AM25" s="43"/>
      <c r="AN25" s="41"/>
      <c r="AO25" s="70"/>
      <c r="AP25" s="44"/>
      <c r="AQ25" s="45"/>
      <c r="AR25" s="66"/>
      <c r="AS25" s="43"/>
      <c r="AT25" s="42"/>
      <c r="AU25" s="67"/>
      <c r="AV25" s="69"/>
      <c r="AW25" s="43"/>
      <c r="AX25" s="41"/>
      <c r="AY25" s="70"/>
      <c r="AZ25" s="44"/>
      <c r="BA25" s="45"/>
      <c r="BB25" s="66"/>
      <c r="BC25" s="43"/>
      <c r="BD25" s="42"/>
      <c r="BE25" s="67"/>
      <c r="BF25" s="69"/>
      <c r="BG25" s="43"/>
      <c r="BH25" s="41"/>
      <c r="BI25" s="70"/>
      <c r="BJ25" s="44"/>
      <c r="BK25" s="45"/>
      <c r="BL25" s="66"/>
      <c r="BM25" s="43"/>
      <c r="BN25" s="42"/>
      <c r="BO25" s="67"/>
      <c r="BP25" s="69"/>
      <c r="BQ25" s="43"/>
      <c r="BR25" s="41"/>
      <c r="BS25" s="70"/>
      <c r="BT25" s="44"/>
    </row>
    <row r="26" spans="1:72" x14ac:dyDescent="0.3">
      <c r="A26" s="3"/>
      <c r="B26" s="1">
        <v>0.79166666666666696</v>
      </c>
      <c r="C26" s="1">
        <v>0.83333333333333304</v>
      </c>
      <c r="D26" s="66"/>
      <c r="E26" s="43"/>
      <c r="F26" s="42"/>
      <c r="G26" s="67"/>
      <c r="H26" s="69"/>
      <c r="I26" s="43"/>
      <c r="J26" s="41"/>
      <c r="K26" s="70"/>
      <c r="L26" s="44"/>
      <c r="M26" s="45"/>
      <c r="N26" s="66"/>
      <c r="O26" s="43"/>
      <c r="P26" s="42"/>
      <c r="Q26" s="67"/>
      <c r="R26" s="69"/>
      <c r="S26" s="43"/>
      <c r="T26" s="41"/>
      <c r="U26" s="70"/>
      <c r="V26" s="44"/>
      <c r="W26" s="45"/>
      <c r="X26" s="66"/>
      <c r="Y26" s="43"/>
      <c r="Z26" s="42"/>
      <c r="AA26" s="67"/>
      <c r="AB26" s="69"/>
      <c r="AC26" s="43"/>
      <c r="AD26" s="41"/>
      <c r="AE26" s="70"/>
      <c r="AF26" s="44"/>
      <c r="AG26" s="45"/>
      <c r="AH26" s="66"/>
      <c r="AI26" s="43"/>
      <c r="AJ26" s="42"/>
      <c r="AK26" s="67"/>
      <c r="AL26" s="69"/>
      <c r="AM26" s="43"/>
      <c r="AN26" s="41"/>
      <c r="AO26" s="70"/>
      <c r="AP26" s="44"/>
      <c r="AQ26" s="45"/>
      <c r="AR26" s="66"/>
      <c r="AS26" s="43"/>
      <c r="AT26" s="42"/>
      <c r="AU26" s="67"/>
      <c r="AV26" s="69"/>
      <c r="AW26" s="43"/>
      <c r="AX26" s="41"/>
      <c r="AY26" s="70"/>
      <c r="AZ26" s="44"/>
      <c r="BA26" s="45"/>
      <c r="BB26" s="66"/>
      <c r="BC26" s="43"/>
      <c r="BD26" s="42"/>
      <c r="BE26" s="67"/>
      <c r="BF26" s="69"/>
      <c r="BG26" s="43"/>
      <c r="BH26" s="41"/>
      <c r="BI26" s="70"/>
      <c r="BJ26" s="44"/>
      <c r="BK26" s="45"/>
      <c r="BL26" s="66"/>
      <c r="BM26" s="43"/>
      <c r="BN26" s="42"/>
      <c r="BO26" s="67"/>
      <c r="BP26" s="69"/>
      <c r="BQ26" s="43"/>
      <c r="BR26" s="41"/>
      <c r="BS26" s="70"/>
      <c r="BT26" s="44"/>
    </row>
    <row r="27" spans="1:72" x14ac:dyDescent="0.3">
      <c r="A27" s="3"/>
      <c r="B27" s="1">
        <v>0.83333333333333337</v>
      </c>
      <c r="C27" s="1">
        <v>0.875</v>
      </c>
      <c r="D27" s="66"/>
      <c r="E27" s="43"/>
      <c r="F27" s="42"/>
      <c r="G27" s="67"/>
      <c r="H27" s="69"/>
      <c r="I27" s="43"/>
      <c r="J27" s="41"/>
      <c r="K27" s="70"/>
      <c r="L27" s="44"/>
      <c r="M27" s="45"/>
      <c r="N27" s="66"/>
      <c r="O27" s="43"/>
      <c r="P27" s="42"/>
      <c r="Q27" s="67"/>
      <c r="R27" s="69"/>
      <c r="S27" s="43"/>
      <c r="T27" s="41"/>
      <c r="U27" s="70"/>
      <c r="V27" s="44"/>
      <c r="W27" s="45"/>
      <c r="X27" s="66"/>
      <c r="Y27" s="43"/>
      <c r="Z27" s="42"/>
      <c r="AA27" s="67"/>
      <c r="AB27" s="69"/>
      <c r="AC27" s="43"/>
      <c r="AD27" s="41"/>
      <c r="AE27" s="70"/>
      <c r="AF27" s="44"/>
      <c r="AG27" s="45"/>
      <c r="AH27" s="66"/>
      <c r="AI27" s="43"/>
      <c r="AJ27" s="42"/>
      <c r="AK27" s="67"/>
      <c r="AL27" s="69"/>
      <c r="AM27" s="43"/>
      <c r="AN27" s="41"/>
      <c r="AO27" s="70"/>
      <c r="AP27" s="44"/>
      <c r="AQ27" s="45"/>
      <c r="AR27" s="66"/>
      <c r="AS27" s="43"/>
      <c r="AT27" s="42"/>
      <c r="AU27" s="67"/>
      <c r="AV27" s="69"/>
      <c r="AW27" s="43"/>
      <c r="AX27" s="41"/>
      <c r="AY27" s="70"/>
      <c r="AZ27" s="44"/>
      <c r="BA27" s="45"/>
      <c r="BB27" s="66"/>
      <c r="BC27" s="43"/>
      <c r="BD27" s="42"/>
      <c r="BE27" s="67"/>
      <c r="BF27" s="69"/>
      <c r="BG27" s="43"/>
      <c r="BH27" s="41"/>
      <c r="BI27" s="70"/>
      <c r="BJ27" s="44"/>
      <c r="BK27" s="45"/>
      <c r="BL27" s="66"/>
      <c r="BM27" s="43"/>
      <c r="BN27" s="42"/>
      <c r="BO27" s="67"/>
      <c r="BP27" s="69"/>
      <c r="BQ27" s="43"/>
      <c r="BR27" s="41"/>
      <c r="BS27" s="70"/>
      <c r="BT27" s="44"/>
    </row>
    <row r="28" spans="1:72" x14ac:dyDescent="0.3">
      <c r="A28" s="3"/>
      <c r="B28" s="1">
        <v>0.875</v>
      </c>
      <c r="C28" s="1">
        <v>0.91666666666666696</v>
      </c>
      <c r="D28" s="66"/>
      <c r="E28" s="43"/>
      <c r="F28" s="42"/>
      <c r="G28" s="67"/>
      <c r="H28" s="69"/>
      <c r="I28" s="43"/>
      <c r="J28" s="41"/>
      <c r="K28" s="70"/>
      <c r="L28" s="44"/>
      <c r="M28" s="45"/>
      <c r="N28" s="66"/>
      <c r="O28" s="43"/>
      <c r="P28" s="42"/>
      <c r="Q28" s="67"/>
      <c r="R28" s="69"/>
      <c r="S28" s="43"/>
      <c r="T28" s="41"/>
      <c r="U28" s="70"/>
      <c r="V28" s="44"/>
      <c r="W28" s="45"/>
      <c r="X28" s="66"/>
      <c r="Y28" s="43"/>
      <c r="Z28" s="42"/>
      <c r="AA28" s="67"/>
      <c r="AB28" s="69"/>
      <c r="AC28" s="43"/>
      <c r="AD28" s="41"/>
      <c r="AE28" s="70"/>
      <c r="AF28" s="44"/>
      <c r="AG28" s="45"/>
      <c r="AH28" s="66"/>
      <c r="AI28" s="43"/>
      <c r="AJ28" s="42"/>
      <c r="AK28" s="67"/>
      <c r="AL28" s="69"/>
      <c r="AM28" s="43"/>
      <c r="AN28" s="41"/>
      <c r="AO28" s="70"/>
      <c r="AP28" s="44"/>
      <c r="AQ28" s="45"/>
      <c r="AR28" s="66"/>
      <c r="AS28" s="43"/>
      <c r="AT28" s="42"/>
      <c r="AU28" s="67"/>
      <c r="AV28" s="69"/>
      <c r="AW28" s="43"/>
      <c r="AX28" s="41"/>
      <c r="AY28" s="70"/>
      <c r="AZ28" s="44"/>
      <c r="BA28" s="45"/>
      <c r="BB28" s="66"/>
      <c r="BC28" s="43"/>
      <c r="BD28" s="42"/>
      <c r="BE28" s="67"/>
      <c r="BF28" s="69"/>
      <c r="BG28" s="43"/>
      <c r="BH28" s="41"/>
      <c r="BI28" s="70"/>
      <c r="BJ28" s="44"/>
      <c r="BK28" s="45"/>
      <c r="BL28" s="66"/>
      <c r="BM28" s="43"/>
      <c r="BN28" s="42"/>
      <c r="BO28" s="67"/>
      <c r="BP28" s="69"/>
      <c r="BQ28" s="43"/>
      <c r="BR28" s="41"/>
      <c r="BS28" s="70"/>
      <c r="BT28" s="44"/>
    </row>
    <row r="29" spans="1:72" x14ac:dyDescent="0.3">
      <c r="A29" s="3"/>
      <c r="B29" s="31">
        <v>0.91666666666666596</v>
      </c>
      <c r="C29" s="31">
        <v>0.95833333333333404</v>
      </c>
      <c r="D29" s="9"/>
      <c r="E29" s="10"/>
      <c r="F29" s="11"/>
      <c r="G29" s="68"/>
      <c r="H29" s="13"/>
      <c r="I29" s="14"/>
      <c r="J29" s="11"/>
      <c r="K29" s="15"/>
      <c r="L29" s="16"/>
      <c r="M29" s="17"/>
      <c r="N29" s="9"/>
      <c r="O29" s="10"/>
      <c r="P29" s="11"/>
      <c r="Q29" s="12"/>
      <c r="R29" s="13"/>
      <c r="S29" s="14"/>
      <c r="T29" s="11"/>
      <c r="U29" s="15"/>
      <c r="V29" s="16"/>
      <c r="W29" s="17"/>
      <c r="X29" s="9"/>
      <c r="Y29" s="10"/>
      <c r="Z29" s="11"/>
      <c r="AA29" s="12"/>
      <c r="AB29" s="13"/>
      <c r="AC29" s="14"/>
      <c r="AD29" s="11"/>
      <c r="AE29" s="15"/>
      <c r="AF29" s="16"/>
      <c r="AG29" s="17"/>
      <c r="AH29" s="9"/>
      <c r="AI29" s="10"/>
      <c r="AJ29" s="11"/>
      <c r="AK29" s="12"/>
      <c r="AL29" s="13"/>
      <c r="AM29" s="14"/>
      <c r="AN29" s="11"/>
      <c r="AO29" s="15"/>
      <c r="AP29" s="16"/>
      <c r="AQ29" s="17"/>
      <c r="AR29" s="9"/>
      <c r="AS29" s="10"/>
      <c r="AT29" s="11"/>
      <c r="AU29" s="12"/>
      <c r="AV29" s="13"/>
      <c r="AW29" s="14"/>
      <c r="AX29" s="11"/>
      <c r="AY29" s="15"/>
      <c r="AZ29" s="16"/>
      <c r="BA29" s="17"/>
      <c r="BB29" s="9"/>
      <c r="BC29" s="10"/>
      <c r="BD29" s="11"/>
      <c r="BE29" s="12"/>
      <c r="BF29" s="13"/>
      <c r="BG29" s="14"/>
      <c r="BH29" s="11"/>
      <c r="BI29" s="15"/>
      <c r="BJ29" s="16"/>
      <c r="BK29" s="17"/>
      <c r="BL29" s="9"/>
      <c r="BM29" s="10"/>
      <c r="BN29" s="11"/>
      <c r="BO29" s="12"/>
      <c r="BP29" s="13"/>
      <c r="BQ29" s="14"/>
      <c r="BR29" s="11"/>
      <c r="BS29" s="15"/>
      <c r="BT29" s="16"/>
    </row>
    <row r="30" spans="1:72" x14ac:dyDescent="0.3">
      <c r="A30" s="3"/>
      <c r="B30" s="31">
        <v>0.95833333333333304</v>
      </c>
      <c r="C30" s="31">
        <v>1</v>
      </c>
      <c r="D30" s="9"/>
      <c r="E30" s="10"/>
      <c r="F30" s="11"/>
      <c r="G30" s="12"/>
      <c r="H30" s="13"/>
      <c r="I30" s="14"/>
      <c r="J30" s="11"/>
      <c r="K30" s="15"/>
      <c r="L30" s="16"/>
      <c r="M30" s="17"/>
      <c r="N30" s="9"/>
      <c r="O30" s="10"/>
      <c r="P30" s="11"/>
      <c r="Q30" s="12"/>
      <c r="R30" s="13"/>
      <c r="S30" s="14"/>
      <c r="T30" s="11"/>
      <c r="U30" s="15"/>
      <c r="V30" s="16"/>
      <c r="W30" s="17"/>
      <c r="X30" s="9"/>
      <c r="Y30" s="10"/>
      <c r="Z30" s="11"/>
      <c r="AA30" s="12"/>
      <c r="AB30" s="13"/>
      <c r="AC30" s="14"/>
      <c r="AD30" s="11"/>
      <c r="AE30" s="15"/>
      <c r="AF30" s="16"/>
      <c r="AG30" s="17"/>
      <c r="AH30" s="9"/>
      <c r="AI30" s="10"/>
      <c r="AJ30" s="11"/>
      <c r="AK30" s="12"/>
      <c r="AL30" s="13"/>
      <c r="AM30" s="14"/>
      <c r="AN30" s="11"/>
      <c r="AO30" s="15"/>
      <c r="AP30" s="16"/>
      <c r="AQ30" s="17"/>
      <c r="AR30" s="9"/>
      <c r="AS30" s="10"/>
      <c r="AT30" s="11"/>
      <c r="AU30" s="12"/>
      <c r="AV30" s="13"/>
      <c r="AW30" s="14"/>
      <c r="AX30" s="11"/>
      <c r="AY30" s="15"/>
      <c r="AZ30" s="16"/>
      <c r="BA30" s="17"/>
      <c r="BB30" s="9"/>
      <c r="BC30" s="10"/>
      <c r="BD30" s="11"/>
      <c r="BE30" s="12"/>
      <c r="BF30" s="13"/>
      <c r="BG30" s="14"/>
      <c r="BH30" s="11"/>
      <c r="BI30" s="15"/>
      <c r="BJ30" s="16"/>
      <c r="BK30" s="17"/>
      <c r="BL30" s="9"/>
      <c r="BM30" s="10"/>
      <c r="BN30" s="11"/>
      <c r="BO30" s="12"/>
      <c r="BP30" s="13"/>
      <c r="BQ30" s="14"/>
      <c r="BR30" s="11"/>
      <c r="BS30" s="15"/>
      <c r="BT30" s="16"/>
    </row>
    <row r="31" spans="1:72" x14ac:dyDescent="0.3">
      <c r="A31" s="3"/>
    </row>
    <row r="32" spans="1:72" customFormat="1" x14ac:dyDescent="0.3">
      <c r="A32" s="21"/>
      <c r="D32" s="217" t="str">
        <f>CONCATENATE("Lunes ",TEXT(DAY(C5),"00"))</f>
        <v>Lunes 02</v>
      </c>
      <c r="E32" s="217"/>
      <c r="F32" s="217"/>
      <c r="G32" s="217"/>
      <c r="H32" s="217"/>
      <c r="I32" s="217"/>
      <c r="J32" s="217"/>
      <c r="K32" s="217"/>
      <c r="L32" s="217"/>
      <c r="N32" s="217" t="str">
        <f>CONCATENATE("Martes ",TEXT(DAY(C5+1),"00"))</f>
        <v>Martes 03</v>
      </c>
      <c r="O32" s="217"/>
      <c r="P32" s="217"/>
      <c r="Q32" s="217"/>
      <c r="R32" s="217"/>
      <c r="S32" s="217"/>
      <c r="T32" s="217"/>
      <c r="U32" s="217"/>
      <c r="V32" s="217"/>
      <c r="X32" s="217" t="str">
        <f>CONCATENATE("Miercoles ",TEXT(DAY(C5+2),"00"))</f>
        <v>Miercoles 04</v>
      </c>
      <c r="Y32" s="217"/>
      <c r="Z32" s="217"/>
      <c r="AA32" s="217"/>
      <c r="AB32" s="217"/>
      <c r="AC32" s="217"/>
      <c r="AD32" s="217"/>
      <c r="AE32" s="217"/>
      <c r="AF32" s="217"/>
      <c r="AH32" s="217" t="str">
        <f>CONCATENATE("Jueves ",TEXT(DAY(C5+3),"00"))</f>
        <v>Jueves 05</v>
      </c>
      <c r="AI32" s="217"/>
      <c r="AJ32" s="217"/>
      <c r="AK32" s="217"/>
      <c r="AL32" s="217"/>
      <c r="AM32" s="217"/>
      <c r="AN32" s="217"/>
      <c r="AO32" s="217"/>
      <c r="AP32" s="217"/>
      <c r="AR32" s="217" t="str">
        <f>CONCATENATE("Viernes ",TEXT(DAY(C5+4),"00"))</f>
        <v>Viernes 06</v>
      </c>
      <c r="AS32" s="217"/>
      <c r="AT32" s="217"/>
      <c r="AU32" s="217"/>
      <c r="AV32" s="217"/>
      <c r="AW32" s="217"/>
      <c r="AX32" s="217"/>
      <c r="AY32" s="217"/>
      <c r="AZ32" s="217"/>
      <c r="BB32" s="217" t="str">
        <f>CONCATENATE("Sábado ",TEXT(DAY(C5+5),"00"))</f>
        <v>Sábado 07</v>
      </c>
      <c r="BC32" s="217"/>
      <c r="BD32" s="217"/>
      <c r="BE32" s="217"/>
      <c r="BF32" s="217"/>
      <c r="BG32" s="217"/>
      <c r="BH32" s="217"/>
      <c r="BI32" s="217"/>
      <c r="BJ32" s="217"/>
      <c r="BL32" s="217" t="str">
        <f>CONCATENATE("Domingo ",TEXT(DAY(C5+6),"00"))</f>
        <v>Domingo 08</v>
      </c>
      <c r="BM32" s="217"/>
      <c r="BN32" s="217"/>
      <c r="BO32" s="217"/>
      <c r="BP32" s="217"/>
      <c r="BQ32" s="217"/>
      <c r="BR32" s="217"/>
      <c r="BS32" s="217"/>
      <c r="BT32" s="217"/>
    </row>
    <row r="33" spans="1:72" customFormat="1" ht="39.75" customHeight="1" x14ac:dyDescent="0.3">
      <c r="A33" s="21"/>
      <c r="D33" s="79" t="str">
        <f t="shared" ref="D33:V33" si="0">+D6</f>
        <v>ELIANA</v>
      </c>
      <c r="E33" s="24" t="str">
        <f t="shared" si="0"/>
        <v>TAMARA</v>
      </c>
      <c r="F33" s="23" t="str">
        <f t="shared" si="0"/>
        <v>MARYURIE</v>
      </c>
      <c r="G33" s="54" t="str">
        <f t="shared" si="0"/>
        <v>REYNA</v>
      </c>
      <c r="H33" s="55" t="str">
        <f t="shared" si="0"/>
        <v>DIANA</v>
      </c>
      <c r="I33" s="24">
        <f t="shared" si="0"/>
        <v>0</v>
      </c>
      <c r="J33" s="22">
        <f t="shared" si="0"/>
        <v>0</v>
      </c>
      <c r="K33" s="56">
        <f t="shared" si="0"/>
        <v>0</v>
      </c>
      <c r="L33" s="25">
        <f t="shared" si="0"/>
        <v>0</v>
      </c>
      <c r="N33" s="79" t="str">
        <f t="shared" si="0"/>
        <v>ELIANA</v>
      </c>
      <c r="O33" s="24" t="str">
        <f t="shared" si="0"/>
        <v>TAMARA</v>
      </c>
      <c r="P33" s="23" t="str">
        <f t="shared" si="0"/>
        <v>MARYURIE</v>
      </c>
      <c r="Q33" s="54" t="str">
        <f t="shared" si="0"/>
        <v>REYNA</v>
      </c>
      <c r="R33" s="55" t="str">
        <f t="shared" si="0"/>
        <v>DIANA</v>
      </c>
      <c r="S33" s="24">
        <f t="shared" si="0"/>
        <v>0</v>
      </c>
      <c r="T33" s="22">
        <f t="shared" si="0"/>
        <v>0</v>
      </c>
      <c r="U33" s="56">
        <f t="shared" si="0"/>
        <v>0</v>
      </c>
      <c r="V33" s="25">
        <f t="shared" si="0"/>
        <v>0</v>
      </c>
      <c r="X33" s="79" t="str">
        <f t="shared" ref="X33:AF33" si="1">+X6</f>
        <v>ELIANA</v>
      </c>
      <c r="Y33" s="24" t="str">
        <f t="shared" si="1"/>
        <v>TAMARA</v>
      </c>
      <c r="Z33" s="23" t="str">
        <f t="shared" si="1"/>
        <v>MARYURIE</v>
      </c>
      <c r="AA33" s="54" t="str">
        <f t="shared" si="1"/>
        <v>REYNA</v>
      </c>
      <c r="AB33" s="55" t="str">
        <f t="shared" si="1"/>
        <v>DIANA</v>
      </c>
      <c r="AC33" s="24">
        <f t="shared" si="1"/>
        <v>0</v>
      </c>
      <c r="AD33" s="22">
        <f t="shared" si="1"/>
        <v>0</v>
      </c>
      <c r="AE33" s="56">
        <f t="shared" si="1"/>
        <v>0</v>
      </c>
      <c r="AF33" s="25">
        <f t="shared" si="1"/>
        <v>0</v>
      </c>
      <c r="AH33" s="79" t="str">
        <f t="shared" ref="AH33:AP33" si="2">+AH6</f>
        <v>ELIANA</v>
      </c>
      <c r="AI33" s="24" t="str">
        <f t="shared" si="2"/>
        <v>TAMARA</v>
      </c>
      <c r="AJ33" s="23" t="str">
        <f t="shared" si="2"/>
        <v>MARYURIE</v>
      </c>
      <c r="AK33" s="54" t="str">
        <f t="shared" si="2"/>
        <v>REYNA</v>
      </c>
      <c r="AL33" s="55" t="str">
        <f t="shared" si="2"/>
        <v>DIANA</v>
      </c>
      <c r="AM33" s="24">
        <f t="shared" si="2"/>
        <v>0</v>
      </c>
      <c r="AN33" s="22">
        <f t="shared" si="2"/>
        <v>0</v>
      </c>
      <c r="AO33" s="56">
        <f t="shared" si="2"/>
        <v>0</v>
      </c>
      <c r="AP33" s="25">
        <f t="shared" si="2"/>
        <v>0</v>
      </c>
      <c r="AR33" s="79" t="str">
        <f t="shared" ref="AR33:AZ33" si="3">+AR6</f>
        <v>ELIANA</v>
      </c>
      <c r="AS33" s="24" t="str">
        <f t="shared" si="3"/>
        <v>TAMARA</v>
      </c>
      <c r="AT33" s="23" t="str">
        <f t="shared" si="3"/>
        <v>MARYURIE</v>
      </c>
      <c r="AU33" s="54" t="str">
        <f t="shared" si="3"/>
        <v>REYNA</v>
      </c>
      <c r="AV33" s="55" t="str">
        <f t="shared" si="3"/>
        <v>DIANA</v>
      </c>
      <c r="AW33" s="24">
        <f t="shared" si="3"/>
        <v>0</v>
      </c>
      <c r="AX33" s="22">
        <f t="shared" si="3"/>
        <v>0</v>
      </c>
      <c r="AY33" s="56">
        <f t="shared" si="3"/>
        <v>0</v>
      </c>
      <c r="AZ33" s="25">
        <f t="shared" si="3"/>
        <v>0</v>
      </c>
      <c r="BB33" s="79" t="str">
        <f t="shared" ref="BB33:BJ33" si="4">+BB6</f>
        <v>ELIANA</v>
      </c>
      <c r="BC33" s="24" t="str">
        <f t="shared" si="4"/>
        <v>TAMARA</v>
      </c>
      <c r="BD33" s="23" t="str">
        <f t="shared" si="4"/>
        <v>MARYURIE</v>
      </c>
      <c r="BE33" s="54" t="str">
        <f t="shared" si="4"/>
        <v>REYNA</v>
      </c>
      <c r="BF33" s="55" t="str">
        <f t="shared" si="4"/>
        <v>DIANA</v>
      </c>
      <c r="BG33" s="24">
        <f t="shared" si="4"/>
        <v>0</v>
      </c>
      <c r="BH33" s="22">
        <f t="shared" si="4"/>
        <v>0</v>
      </c>
      <c r="BI33" s="56">
        <f t="shared" si="4"/>
        <v>0</v>
      </c>
      <c r="BJ33" s="25">
        <f t="shared" si="4"/>
        <v>0</v>
      </c>
      <c r="BL33" s="79" t="str">
        <f t="shared" ref="BL33:BT33" si="5">+BL6</f>
        <v>ELIANA</v>
      </c>
      <c r="BM33" s="24" t="str">
        <f t="shared" si="5"/>
        <v>TAMARA</v>
      </c>
      <c r="BN33" s="23" t="str">
        <f t="shared" si="5"/>
        <v>MARYURIE</v>
      </c>
      <c r="BO33" s="54" t="str">
        <f t="shared" si="5"/>
        <v>REYNA</v>
      </c>
      <c r="BP33" s="55" t="str">
        <f t="shared" si="5"/>
        <v>DIANA</v>
      </c>
      <c r="BQ33" s="24">
        <f t="shared" si="5"/>
        <v>0</v>
      </c>
      <c r="BR33" s="22">
        <f t="shared" si="5"/>
        <v>0</v>
      </c>
      <c r="BS33" s="56">
        <f t="shared" si="5"/>
        <v>0</v>
      </c>
      <c r="BT33" s="25">
        <f t="shared" si="5"/>
        <v>0</v>
      </c>
    </row>
    <row r="34" spans="1:72" s="34" customFormat="1" ht="16.5" customHeight="1" x14ac:dyDescent="0.3">
      <c r="A34" s="33"/>
      <c r="C34" s="85" t="s">
        <v>9</v>
      </c>
      <c r="D34" s="50">
        <f>SUM(D7:D30)</f>
        <v>5</v>
      </c>
      <c r="E34" s="37">
        <f t="shared" ref="E34:L34" si="6">SUM(E7:E30)</f>
        <v>0</v>
      </c>
      <c r="F34" s="36">
        <f t="shared" si="6"/>
        <v>0</v>
      </c>
      <c r="G34" s="51">
        <f t="shared" si="6"/>
        <v>0</v>
      </c>
      <c r="H34" s="52">
        <f t="shared" si="6"/>
        <v>0</v>
      </c>
      <c r="I34" s="37">
        <f t="shared" si="6"/>
        <v>0</v>
      </c>
      <c r="J34" s="35">
        <f t="shared" si="6"/>
        <v>0</v>
      </c>
      <c r="K34" s="53">
        <f t="shared" si="6"/>
        <v>0</v>
      </c>
      <c r="L34" s="38">
        <f t="shared" si="6"/>
        <v>0</v>
      </c>
      <c r="N34" s="50">
        <f>SUM(N7:N30)</f>
        <v>0</v>
      </c>
      <c r="O34" s="37">
        <f t="shared" ref="O34:V34" si="7">SUM(O7:O30)</f>
        <v>0</v>
      </c>
      <c r="P34" s="36">
        <f t="shared" si="7"/>
        <v>0</v>
      </c>
      <c r="Q34" s="51">
        <f t="shared" si="7"/>
        <v>0</v>
      </c>
      <c r="R34" s="52">
        <f t="shared" si="7"/>
        <v>0</v>
      </c>
      <c r="S34" s="37">
        <f t="shared" si="7"/>
        <v>0</v>
      </c>
      <c r="T34" s="35">
        <f t="shared" si="7"/>
        <v>0</v>
      </c>
      <c r="U34" s="53">
        <f t="shared" si="7"/>
        <v>0</v>
      </c>
      <c r="V34" s="38">
        <f t="shared" si="7"/>
        <v>0</v>
      </c>
      <c r="X34" s="50">
        <f>SUM(X7:X30)</f>
        <v>0</v>
      </c>
      <c r="Y34" s="37">
        <f t="shared" ref="Y34:AF34" si="8">SUM(Y7:Y30)</f>
        <v>0</v>
      </c>
      <c r="Z34" s="36">
        <f t="shared" si="8"/>
        <v>0</v>
      </c>
      <c r="AA34" s="51">
        <f t="shared" si="8"/>
        <v>0</v>
      </c>
      <c r="AB34" s="52">
        <f t="shared" si="8"/>
        <v>0</v>
      </c>
      <c r="AC34" s="37">
        <f t="shared" si="8"/>
        <v>0</v>
      </c>
      <c r="AD34" s="35">
        <f t="shared" si="8"/>
        <v>0</v>
      </c>
      <c r="AE34" s="53">
        <f t="shared" si="8"/>
        <v>0</v>
      </c>
      <c r="AF34" s="38">
        <f t="shared" si="8"/>
        <v>0</v>
      </c>
      <c r="AH34" s="50">
        <f>SUM(AH7:AH30)</f>
        <v>0</v>
      </c>
      <c r="AI34" s="37">
        <f t="shared" ref="AI34:AP34" si="9">SUM(AI7:AI30)</f>
        <v>0</v>
      </c>
      <c r="AJ34" s="36">
        <f t="shared" si="9"/>
        <v>0</v>
      </c>
      <c r="AK34" s="51">
        <f t="shared" si="9"/>
        <v>0</v>
      </c>
      <c r="AL34" s="52">
        <f t="shared" si="9"/>
        <v>0</v>
      </c>
      <c r="AM34" s="37">
        <f t="shared" si="9"/>
        <v>0</v>
      </c>
      <c r="AN34" s="35">
        <f t="shared" si="9"/>
        <v>0</v>
      </c>
      <c r="AO34" s="53">
        <f t="shared" si="9"/>
        <v>0</v>
      </c>
      <c r="AP34" s="38">
        <f t="shared" si="9"/>
        <v>0</v>
      </c>
      <c r="AR34" s="50">
        <f>SUM(AR7:AR30)</f>
        <v>0</v>
      </c>
      <c r="AS34" s="37">
        <f t="shared" ref="AS34:AZ34" si="10">SUM(AS7:AS30)</f>
        <v>0</v>
      </c>
      <c r="AT34" s="36">
        <f t="shared" si="10"/>
        <v>0</v>
      </c>
      <c r="AU34" s="51">
        <f t="shared" si="10"/>
        <v>0</v>
      </c>
      <c r="AV34" s="52">
        <f t="shared" si="10"/>
        <v>0</v>
      </c>
      <c r="AW34" s="37">
        <f t="shared" si="10"/>
        <v>0</v>
      </c>
      <c r="AX34" s="35">
        <f t="shared" si="10"/>
        <v>0</v>
      </c>
      <c r="AY34" s="53">
        <f t="shared" si="10"/>
        <v>0</v>
      </c>
      <c r="AZ34" s="38">
        <f t="shared" si="10"/>
        <v>0</v>
      </c>
      <c r="BB34" s="50">
        <f>SUM(BB7:BB30)</f>
        <v>0</v>
      </c>
      <c r="BC34" s="37">
        <f t="shared" ref="BC34:BJ34" si="11">SUM(BC7:BC30)</f>
        <v>0</v>
      </c>
      <c r="BD34" s="36">
        <f t="shared" si="11"/>
        <v>0</v>
      </c>
      <c r="BE34" s="51">
        <f t="shared" si="11"/>
        <v>0</v>
      </c>
      <c r="BF34" s="52">
        <f t="shared" si="11"/>
        <v>0</v>
      </c>
      <c r="BG34" s="37">
        <f t="shared" si="11"/>
        <v>0</v>
      </c>
      <c r="BH34" s="35">
        <f t="shared" si="11"/>
        <v>0</v>
      </c>
      <c r="BI34" s="53">
        <f t="shared" si="11"/>
        <v>0</v>
      </c>
      <c r="BJ34" s="38">
        <f t="shared" si="11"/>
        <v>0</v>
      </c>
      <c r="BL34" s="50">
        <f>SUM(BL7:BL30)</f>
        <v>0</v>
      </c>
      <c r="BM34" s="37">
        <f t="shared" ref="BM34:BT34" si="12">SUM(BM7:BM30)</f>
        <v>0</v>
      </c>
      <c r="BN34" s="36">
        <f t="shared" si="12"/>
        <v>0</v>
      </c>
      <c r="BO34" s="51">
        <f t="shared" si="12"/>
        <v>0</v>
      </c>
      <c r="BP34" s="52">
        <f t="shared" si="12"/>
        <v>0</v>
      </c>
      <c r="BQ34" s="37">
        <f t="shared" si="12"/>
        <v>0</v>
      </c>
      <c r="BR34" s="35">
        <f t="shared" si="12"/>
        <v>0</v>
      </c>
      <c r="BS34" s="53">
        <f t="shared" si="12"/>
        <v>0</v>
      </c>
      <c r="BT34" s="38">
        <f t="shared" si="12"/>
        <v>0</v>
      </c>
    </row>
    <row r="35" spans="1:72" s="27" customFormat="1" ht="11.25" hidden="1" customHeight="1" x14ac:dyDescent="0.2">
      <c r="A35" s="26"/>
      <c r="C35" s="165" t="s">
        <v>10</v>
      </c>
      <c r="D35" s="166" t="str">
        <f>+_xlfn.CONCAT(IF(AND(D14=0.5,D15=0.5),"8:30 AM - 9:30 AM",IF(AND(D14=0.5,D15=0.5,COUNT(D16:D17)&lt;2),"8:30 AM - 9:30 AM",""))," Y ",IF(SUM(D15:D30)&gt;=7.5,"",""))</f>
        <v xml:space="preserve"> Y </v>
      </c>
      <c r="E35" s="160" t="str">
        <f t="shared" ref="E35:L35" si="13">+IF(AND(E14=0.5,E15=0.5),"8:30 AM - 9:30 AM","")</f>
        <v/>
      </c>
      <c r="F35" s="157" t="str">
        <f t="shared" si="13"/>
        <v/>
      </c>
      <c r="G35" s="209" t="str">
        <f t="shared" si="13"/>
        <v/>
      </c>
      <c r="H35" s="210" t="str">
        <f t="shared" si="13"/>
        <v/>
      </c>
      <c r="I35" s="168" t="str">
        <f t="shared" si="13"/>
        <v/>
      </c>
      <c r="J35" s="214" t="str">
        <f t="shared" si="13"/>
        <v/>
      </c>
      <c r="K35" s="205" t="str">
        <f t="shared" si="13"/>
        <v/>
      </c>
      <c r="L35" s="176" t="str">
        <f t="shared" si="13"/>
        <v/>
      </c>
      <c r="M35" s="30"/>
      <c r="N35" s="159"/>
      <c r="O35" s="160"/>
      <c r="P35" s="157"/>
      <c r="Q35" s="209"/>
      <c r="R35" s="210"/>
      <c r="S35" s="168"/>
      <c r="T35" s="214"/>
      <c r="U35" s="205"/>
      <c r="V35" s="148"/>
      <c r="W35" s="30"/>
      <c r="X35" s="159"/>
      <c r="Y35" s="160"/>
      <c r="Z35" s="157"/>
      <c r="AA35" s="209"/>
      <c r="AB35" s="210"/>
      <c r="AC35" s="158"/>
      <c r="AD35" s="157"/>
      <c r="AE35" s="205"/>
      <c r="AF35" s="148"/>
      <c r="AG35" s="30"/>
      <c r="AH35" s="159"/>
      <c r="AI35" s="160"/>
      <c r="AJ35" s="157"/>
      <c r="AK35" s="209"/>
      <c r="AL35" s="210"/>
      <c r="AM35" s="158"/>
      <c r="AN35" s="157"/>
      <c r="AO35" s="205"/>
      <c r="AP35" s="148"/>
      <c r="AQ35" s="30"/>
      <c r="AR35" s="159"/>
      <c r="AS35" s="160"/>
      <c r="AT35" s="157"/>
      <c r="AU35" s="209"/>
      <c r="AV35" s="210"/>
      <c r="AW35" s="158"/>
      <c r="AX35" s="157"/>
      <c r="AY35" s="205"/>
      <c r="AZ35" s="148"/>
      <c r="BA35" s="30"/>
      <c r="BB35" s="159"/>
      <c r="BC35" s="160"/>
      <c r="BD35" s="157"/>
      <c r="BE35" s="209"/>
      <c r="BF35" s="210"/>
      <c r="BG35" s="158"/>
      <c r="BH35" s="157"/>
      <c r="BI35" s="205"/>
      <c r="BJ35" s="148"/>
      <c r="BK35" s="30"/>
      <c r="BL35" s="159"/>
      <c r="BM35" s="160"/>
      <c r="BN35" s="157"/>
      <c r="BO35" s="209"/>
      <c r="BP35" s="210"/>
      <c r="BQ35" s="158"/>
      <c r="BR35" s="157"/>
      <c r="BS35" s="205"/>
      <c r="BT35" s="148"/>
    </row>
    <row r="36" spans="1:72" ht="15" hidden="1" customHeight="1" x14ac:dyDescent="0.3">
      <c r="A36" s="3"/>
      <c r="C36" s="165"/>
      <c r="D36" s="167"/>
      <c r="E36" s="160"/>
      <c r="F36" s="157"/>
      <c r="G36" s="209"/>
      <c r="H36" s="210"/>
      <c r="I36" s="169"/>
      <c r="J36" s="215"/>
      <c r="K36" s="205"/>
      <c r="L36" s="177"/>
      <c r="M36" s="28"/>
      <c r="N36" s="159"/>
      <c r="O36" s="160"/>
      <c r="P36" s="157"/>
      <c r="Q36" s="209"/>
      <c r="R36" s="210"/>
      <c r="S36" s="169"/>
      <c r="T36" s="215"/>
      <c r="U36" s="205"/>
      <c r="V36" s="148"/>
      <c r="W36" s="28"/>
      <c r="X36" s="159"/>
      <c r="Y36" s="160"/>
      <c r="Z36" s="157"/>
      <c r="AA36" s="209"/>
      <c r="AB36" s="210"/>
      <c r="AC36" s="158"/>
      <c r="AD36" s="157"/>
      <c r="AE36" s="205"/>
      <c r="AF36" s="148"/>
      <c r="AG36" s="28"/>
      <c r="AH36" s="159"/>
      <c r="AI36" s="160"/>
      <c r="AJ36" s="157"/>
      <c r="AK36" s="209"/>
      <c r="AL36" s="210"/>
      <c r="AM36" s="158"/>
      <c r="AN36" s="157"/>
      <c r="AO36" s="205"/>
      <c r="AP36" s="148"/>
      <c r="AQ36" s="28"/>
      <c r="AR36" s="159"/>
      <c r="AS36" s="160"/>
      <c r="AT36" s="157"/>
      <c r="AU36" s="209"/>
      <c r="AV36" s="210"/>
      <c r="AW36" s="158"/>
      <c r="AX36" s="157"/>
      <c r="AY36" s="205"/>
      <c r="AZ36" s="148"/>
      <c r="BA36" s="28"/>
      <c r="BB36" s="159"/>
      <c r="BC36" s="160"/>
      <c r="BD36" s="157"/>
      <c r="BE36" s="209"/>
      <c r="BF36" s="210"/>
      <c r="BG36" s="158"/>
      <c r="BH36" s="157"/>
      <c r="BI36" s="205"/>
      <c r="BJ36" s="148"/>
      <c r="BK36" s="28"/>
      <c r="BL36" s="159"/>
      <c r="BM36" s="160"/>
      <c r="BN36" s="157"/>
      <c r="BO36" s="209"/>
      <c r="BP36" s="210"/>
      <c r="BQ36" s="158"/>
      <c r="BR36" s="157"/>
      <c r="BS36" s="205"/>
      <c r="BT36" s="148"/>
    </row>
    <row r="37" spans="1:72" x14ac:dyDescent="0.3">
      <c r="A37" s="3"/>
      <c r="D37" s="18"/>
      <c r="E37" s="18"/>
      <c r="F37" s="18"/>
      <c r="G37" s="18"/>
      <c r="H37" s="18"/>
      <c r="I37" s="18"/>
      <c r="J37" s="18"/>
      <c r="K37" s="18"/>
      <c r="L37" s="18"/>
      <c r="N37" s="18"/>
      <c r="O37" s="18"/>
      <c r="P37" s="18"/>
      <c r="Q37" s="18"/>
      <c r="R37" s="18"/>
      <c r="S37" s="18"/>
      <c r="T37" s="18"/>
      <c r="U37" s="18"/>
      <c r="V37" s="18"/>
      <c r="X37" s="18"/>
      <c r="Y37" s="18"/>
      <c r="Z37" s="18"/>
      <c r="AA37" s="18"/>
      <c r="AB37" s="18"/>
      <c r="AC37" s="18"/>
      <c r="AD37" s="18"/>
      <c r="AE37" s="18"/>
      <c r="AF37" s="18"/>
      <c r="AH37" s="18"/>
      <c r="AI37" s="18"/>
      <c r="AJ37" s="18"/>
      <c r="AK37" s="18"/>
      <c r="AL37" s="18"/>
      <c r="AM37" s="18"/>
      <c r="AN37" s="18"/>
      <c r="AO37" s="18"/>
      <c r="AP37" s="18"/>
      <c r="AR37" s="18"/>
      <c r="AS37" s="18"/>
      <c r="AT37" s="18"/>
      <c r="AU37" s="18"/>
      <c r="AV37" s="18"/>
      <c r="AW37" s="18"/>
      <c r="AX37" s="18"/>
      <c r="AY37" s="18"/>
      <c r="AZ37" s="18"/>
      <c r="BB37" s="18"/>
      <c r="BC37" s="18"/>
      <c r="BD37" s="18"/>
      <c r="BE37" s="18"/>
      <c r="BF37" s="18"/>
      <c r="BG37" s="18"/>
      <c r="BH37" s="18"/>
      <c r="BI37" s="18"/>
      <c r="BJ37" s="18"/>
      <c r="BL37" s="18"/>
      <c r="BM37" s="18"/>
      <c r="BN37" s="18"/>
      <c r="BO37" s="18"/>
      <c r="BP37" s="18"/>
      <c r="BQ37" s="18"/>
      <c r="BR37" s="18"/>
      <c r="BS37" s="18"/>
      <c r="BT37" s="18"/>
    </row>
    <row r="38" spans="1:72" x14ac:dyDescent="0.3">
      <c r="A38" s="3"/>
      <c r="B38" s="86" t="s">
        <v>3</v>
      </c>
      <c r="C38" s="87"/>
      <c r="D38" s="87"/>
      <c r="E38" s="87"/>
      <c r="F38" s="87"/>
      <c r="G38" s="87"/>
      <c r="H38" s="87"/>
      <c r="I38" s="19"/>
      <c r="J38" s="20"/>
      <c r="K38" s="80" t="s">
        <v>12</v>
      </c>
      <c r="L38" s="71"/>
      <c r="M38" s="206" t="s">
        <v>4</v>
      </c>
      <c r="N38" s="207"/>
      <c r="O38" s="20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</row>
    <row r="39" spans="1:72" ht="15" customHeight="1" x14ac:dyDescent="0.3">
      <c r="A39" s="3"/>
      <c r="B39" s="211" t="s">
        <v>18</v>
      </c>
      <c r="C39" s="212"/>
      <c r="D39" s="212"/>
      <c r="E39" s="212"/>
      <c r="F39" s="212"/>
      <c r="G39" s="212"/>
      <c r="H39" s="212"/>
      <c r="I39" s="212"/>
      <c r="J39" s="213"/>
      <c r="K39" s="72">
        <f>+D34+N34+X34+AH34+AR34+BB34+BL34</f>
        <v>5</v>
      </c>
      <c r="L39" s="196" t="s">
        <v>7</v>
      </c>
      <c r="M39" s="197"/>
      <c r="N39" s="197"/>
      <c r="O39" s="198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</row>
    <row r="40" spans="1:72" ht="15" customHeight="1" x14ac:dyDescent="0.3">
      <c r="A40" s="3"/>
      <c r="B40" s="190" t="s">
        <v>19</v>
      </c>
      <c r="C40" s="191"/>
      <c r="D40" s="191"/>
      <c r="E40" s="191"/>
      <c r="F40" s="191"/>
      <c r="G40" s="191"/>
      <c r="H40" s="191"/>
      <c r="I40" s="191"/>
      <c r="J40" s="192"/>
      <c r="K40" s="73">
        <f>+E34+O34+Y34+AI34+AS34+BC34+BM34</f>
        <v>0</v>
      </c>
      <c r="L40" s="196" t="s">
        <v>5</v>
      </c>
      <c r="M40" s="197"/>
      <c r="N40" s="197"/>
      <c r="O40" s="198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</row>
    <row r="41" spans="1:72" ht="15" customHeight="1" x14ac:dyDescent="0.3">
      <c r="A41" s="3"/>
      <c r="B41" s="199" t="s">
        <v>20</v>
      </c>
      <c r="C41" s="200"/>
      <c r="D41" s="200"/>
      <c r="E41" s="200"/>
      <c r="F41" s="200"/>
      <c r="G41" s="200"/>
      <c r="H41" s="200"/>
      <c r="I41" s="200"/>
      <c r="J41" s="201"/>
      <c r="K41" s="74">
        <f>+F34+P34+Z34+AJ34+AT34+BD34+BN34</f>
        <v>0</v>
      </c>
      <c r="L41" s="196" t="s">
        <v>6</v>
      </c>
      <c r="M41" s="197"/>
      <c r="N41" s="197"/>
      <c r="O41" s="198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</row>
    <row r="42" spans="1:72" ht="15" customHeight="1" x14ac:dyDescent="0.3">
      <c r="A42" s="3"/>
      <c r="B42" s="202" t="s">
        <v>21</v>
      </c>
      <c r="C42" s="203"/>
      <c r="D42" s="203"/>
      <c r="E42" s="203"/>
      <c r="F42" s="203"/>
      <c r="G42" s="203"/>
      <c r="H42" s="203"/>
      <c r="I42" s="203"/>
      <c r="J42" s="204"/>
      <c r="K42" s="75">
        <f>+G34+Q34+AA34+AK34+AU34+BE34+BO34</f>
        <v>0</v>
      </c>
      <c r="L42" s="196" t="s">
        <v>8</v>
      </c>
      <c r="M42" s="197"/>
      <c r="N42" s="197"/>
      <c r="O42" s="198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</row>
    <row r="43" spans="1:72" ht="15" customHeight="1" x14ac:dyDescent="0.3">
      <c r="B43" s="184" t="s">
        <v>22</v>
      </c>
      <c r="C43" s="185"/>
      <c r="D43" s="185"/>
      <c r="E43" s="185"/>
      <c r="F43" s="185"/>
      <c r="G43" s="185"/>
      <c r="H43" s="185"/>
      <c r="I43" s="185"/>
      <c r="J43" s="186"/>
      <c r="K43" s="76">
        <f>+H34+R34+AB34+AL34+AV34+BF34+BP34</f>
        <v>0</v>
      </c>
      <c r="L43" s="187"/>
      <c r="M43" s="188"/>
      <c r="N43" s="188"/>
      <c r="O43" s="189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</row>
    <row r="44" spans="1:72" ht="15" hidden="1" customHeight="1" x14ac:dyDescent="0.3">
      <c r="B44" s="190"/>
      <c r="C44" s="191"/>
      <c r="D44" s="191"/>
      <c r="E44" s="191"/>
      <c r="F44" s="191"/>
      <c r="G44" s="191"/>
      <c r="H44" s="191"/>
      <c r="I44" s="191"/>
      <c r="J44" s="192"/>
      <c r="K44" s="73">
        <f>+I34+S34+AC34+AM34+AW34+BG34+BQ34</f>
        <v>0</v>
      </c>
      <c r="L44" s="181"/>
      <c r="M44" s="182"/>
      <c r="N44" s="182"/>
      <c r="O44" s="183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</row>
    <row r="45" spans="1:72" ht="15" hidden="1" customHeight="1" x14ac:dyDescent="0.3">
      <c r="B45" s="193"/>
      <c r="C45" s="194"/>
      <c r="D45" s="194"/>
      <c r="E45" s="194"/>
      <c r="F45" s="194"/>
      <c r="G45" s="194"/>
      <c r="H45" s="194"/>
      <c r="I45" s="194"/>
      <c r="J45" s="195"/>
      <c r="K45" s="77">
        <f>+J34+T34+AD34+AN34+AX34+BH34+BR34</f>
        <v>0</v>
      </c>
      <c r="L45" s="181"/>
      <c r="M45" s="182"/>
      <c r="N45" s="182"/>
      <c r="O45" s="183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</row>
    <row r="46" spans="1:72" ht="15" customHeight="1" x14ac:dyDescent="0.3">
      <c r="B46" s="178"/>
      <c r="C46" s="179"/>
      <c r="D46" s="179"/>
      <c r="E46" s="179"/>
      <c r="F46" s="179"/>
      <c r="G46" s="179"/>
      <c r="H46" s="179"/>
      <c r="I46" s="179"/>
      <c r="J46" s="180"/>
      <c r="K46" s="78">
        <f>+H38+R38+AB38+AL38+AV38+BF38+BP38</f>
        <v>0</v>
      </c>
      <c r="L46" s="181"/>
      <c r="M46" s="182"/>
      <c r="N46" s="182"/>
      <c r="O46" s="183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</row>
  </sheetData>
  <sheetProtection selectLockedCells="1"/>
  <mergeCells count="89">
    <mergeCell ref="H35:H36"/>
    <mergeCell ref="D2:BS2"/>
    <mergeCell ref="D32:L32"/>
    <mergeCell ref="N32:V32"/>
    <mergeCell ref="X32:AF32"/>
    <mergeCell ref="AH32:AP32"/>
    <mergeCell ref="AR32:AZ32"/>
    <mergeCell ref="BB32:BJ32"/>
    <mergeCell ref="BL32:BT32"/>
    <mergeCell ref="U35:U36"/>
    <mergeCell ref="I35:I36"/>
    <mergeCell ref="J35:J36"/>
    <mergeCell ref="K35:K36"/>
    <mergeCell ref="L35:L36"/>
    <mergeCell ref="N35:N36"/>
    <mergeCell ref="O35:O36"/>
    <mergeCell ref="C35:C36"/>
    <mergeCell ref="D35:D36"/>
    <mergeCell ref="E35:E36"/>
    <mergeCell ref="F35:F36"/>
    <mergeCell ref="G35:G36"/>
    <mergeCell ref="P35:P36"/>
    <mergeCell ref="Q35:Q36"/>
    <mergeCell ref="R35:R36"/>
    <mergeCell ref="S35:S36"/>
    <mergeCell ref="T35:T36"/>
    <mergeCell ref="AI35:AI36"/>
    <mergeCell ref="V35:V36"/>
    <mergeCell ref="X35:X36"/>
    <mergeCell ref="Y35:Y36"/>
    <mergeCell ref="Z35:Z36"/>
    <mergeCell ref="AA35:AA36"/>
    <mergeCell ref="AB35:AB36"/>
    <mergeCell ref="AC35:AC36"/>
    <mergeCell ref="AD35:AD36"/>
    <mergeCell ref="AE35:AE36"/>
    <mergeCell ref="AF35:AF36"/>
    <mergeCell ref="AH35:AH36"/>
    <mergeCell ref="AK35:AK36"/>
    <mergeCell ref="AL35:AL36"/>
    <mergeCell ref="AM35:AM36"/>
    <mergeCell ref="AN35:AN36"/>
    <mergeCell ref="AO35:AO36"/>
    <mergeCell ref="B39:J39"/>
    <mergeCell ref="L39:O39"/>
    <mergeCell ref="BJ35:BJ36"/>
    <mergeCell ref="BL35:BL36"/>
    <mergeCell ref="BM35:BM36"/>
    <mergeCell ref="BD35:BD36"/>
    <mergeCell ref="BE35:BE36"/>
    <mergeCell ref="BF35:BF36"/>
    <mergeCell ref="BG35:BG36"/>
    <mergeCell ref="BH35:BH36"/>
    <mergeCell ref="BI35:BI36"/>
    <mergeCell ref="AW35:AW36"/>
    <mergeCell ref="AX35:AX36"/>
    <mergeCell ref="AY35:AY36"/>
    <mergeCell ref="AZ35:AZ36"/>
    <mergeCell ref="BB35:BB36"/>
    <mergeCell ref="BQ35:BQ36"/>
    <mergeCell ref="BR35:BR36"/>
    <mergeCell ref="BS35:BS36"/>
    <mergeCell ref="BT35:BT36"/>
    <mergeCell ref="M38:O38"/>
    <mergeCell ref="BN35:BN36"/>
    <mergeCell ref="BO35:BO36"/>
    <mergeCell ref="BP35:BP36"/>
    <mergeCell ref="BC35:BC36"/>
    <mergeCell ref="AP35:AP36"/>
    <mergeCell ref="AR35:AR36"/>
    <mergeCell ref="AS35:AS36"/>
    <mergeCell ref="AT35:AT36"/>
    <mergeCell ref="AU35:AU36"/>
    <mergeCell ref="AV35:AV36"/>
    <mergeCell ref="AJ35:AJ36"/>
    <mergeCell ref="B40:J40"/>
    <mergeCell ref="L40:O40"/>
    <mergeCell ref="B41:J41"/>
    <mergeCell ref="L41:O41"/>
    <mergeCell ref="B42:J42"/>
    <mergeCell ref="L42:O42"/>
    <mergeCell ref="B46:J46"/>
    <mergeCell ref="L46:O46"/>
    <mergeCell ref="B43:J43"/>
    <mergeCell ref="L43:O43"/>
    <mergeCell ref="B44:J44"/>
    <mergeCell ref="L44:O44"/>
    <mergeCell ref="B45:J45"/>
    <mergeCell ref="L45:O45"/>
  </mergeCells>
  <conditionalFormatting sqref="D7:L14 D29:L30 N29:V30 X7:AF13 X29:AF30 AH7:AP14 AH29:AP30 AR29:AZ30 BB29:BJ30 BL29:BT30 AR7:AZ14 BB7:BJ14 BL7:BT14 X14 Z14 Y14:Y16 AB14:AF14 AA14:AA16 N7:V14 O15:O16 Q15:Q16">
    <cfRule type="expression" dxfId="20" priority="16">
      <formula>IF(OR(D7=0,D7=""),TRUE(),FALSE())</formula>
    </cfRule>
  </conditionalFormatting>
  <conditionalFormatting sqref="L15:L16 V15:V16 AF15:AF16 AP15:AP16 AZ15:AZ16 BJ15:BJ16 BT15:BT16 N17:V28 X17:AF28 AH17:AP28 BB17:BJ28 BL17:BT28 AR17:AZ28 D17:L28">
    <cfRule type="expression" dxfId="19" priority="15">
      <formula>IF(OR(D15=0,D15=""),TRUE(),FALSE())</formula>
    </cfRule>
  </conditionalFormatting>
  <conditionalFormatting sqref="D15:K15 D16">
    <cfRule type="expression" dxfId="18" priority="14">
      <formula>IF(OR(D15=0,D15=""),TRUE(),FALSE())</formula>
    </cfRule>
  </conditionalFormatting>
  <conditionalFormatting sqref="E16:K16">
    <cfRule type="expression" dxfId="17" priority="13">
      <formula>IF(OR(E16=0,E16=""),TRUE(),FALSE())</formula>
    </cfRule>
  </conditionalFormatting>
  <conditionalFormatting sqref="N15 P15 R15:U15">
    <cfRule type="expression" dxfId="16" priority="12">
      <formula>IF(OR(N15=0,N15=""),TRUE(),FALSE())</formula>
    </cfRule>
  </conditionalFormatting>
  <conditionalFormatting sqref="N16 R16:U16 P16">
    <cfRule type="expression" dxfId="15" priority="11">
      <formula>IF(OR(N16=0,N16=""),TRUE(),FALSE())</formula>
    </cfRule>
  </conditionalFormatting>
  <conditionalFormatting sqref="X15 Z15 AB15:AE15">
    <cfRule type="expression" dxfId="14" priority="10">
      <formula>IF(OR(X15=0,X15=""),TRUE(),FALSE())</formula>
    </cfRule>
  </conditionalFormatting>
  <conditionalFormatting sqref="X16 Z16 AB16:AE16">
    <cfRule type="expression" dxfId="13" priority="9">
      <formula>IF(OR(X16=0,X16=""),TRUE(),FALSE())</formula>
    </cfRule>
  </conditionalFormatting>
  <conditionalFormatting sqref="AH15:AO15">
    <cfRule type="expression" dxfId="12" priority="8">
      <formula>IF(OR(AH15=0,AH15=""),TRUE(),FALSE())</formula>
    </cfRule>
  </conditionalFormatting>
  <conditionalFormatting sqref="AH16:AO16">
    <cfRule type="expression" dxfId="11" priority="7">
      <formula>IF(OR(AH16=0,AH16=""),TRUE(),FALSE())</formula>
    </cfRule>
  </conditionalFormatting>
  <conditionalFormatting sqref="AR15:AY15">
    <cfRule type="expression" dxfId="10" priority="6">
      <formula>IF(OR(AR15=0,AR15=""),TRUE(),FALSE())</formula>
    </cfRule>
  </conditionalFormatting>
  <conditionalFormatting sqref="AR16:AY16">
    <cfRule type="expression" dxfId="9" priority="5">
      <formula>IF(OR(AR16=0,AR16=""),TRUE(),FALSE())</formula>
    </cfRule>
  </conditionalFormatting>
  <conditionalFormatting sqref="BB15:BI15">
    <cfRule type="expression" dxfId="8" priority="4">
      <formula>IF(OR(BB15=0,BB15=""),TRUE(),FALSE())</formula>
    </cfRule>
  </conditionalFormatting>
  <conditionalFormatting sqref="BB16:BI16">
    <cfRule type="expression" dxfId="7" priority="3">
      <formula>IF(OR(BB16=0,BB16=""),TRUE(),FALSE())</formula>
    </cfRule>
  </conditionalFormatting>
  <conditionalFormatting sqref="BL15:BS15">
    <cfRule type="expression" dxfId="6" priority="2">
      <formula>IF(OR(BL15=0,BL15=""),TRUE(),FALSE())</formula>
    </cfRule>
  </conditionalFormatting>
  <conditionalFormatting sqref="BL16:BS16">
    <cfRule type="expression" dxfId="5" priority="1">
      <formula>IF(OR(BL16=0,BL16=""),TRUE(),FALSE())</formula>
    </cfRule>
  </conditionalFormatting>
  <dataValidations count="1">
    <dataValidation type="list" allowBlank="1" showInputMessage="1" showErrorMessage="1" sqref="X7:AF30 BB7:BJ30 BL7:BT30 AR7:AZ30 N7:V30 AH7:AP30 D7:L30" xr:uid="{E0FF5B4D-6A55-41E4-8B6B-0F60D40AA14C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24 al 30 de agosto</vt:lpstr>
      <vt:lpstr>24 al 30 de agosto (2)</vt:lpstr>
      <vt:lpstr>02 AL 08 MAR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RRHH BISSÚ</dc:creator>
  <cp:lastModifiedBy>Brigitte Zona 1</cp:lastModifiedBy>
  <dcterms:created xsi:type="dcterms:W3CDTF">2026-02-03T21:33:23Z</dcterms:created>
  <dcterms:modified xsi:type="dcterms:W3CDTF">2026-08-31T21:09:19Z</dcterms:modified>
</cp:coreProperties>
</file>