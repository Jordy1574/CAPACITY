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0.122.82.187\mb vertical\TIENDAS BISSU\SUPERVISOR ZONA 01\Bissú Puruchuco\HORARIO\"/>
    </mc:Choice>
  </mc:AlternateContent>
  <xr:revisionPtr revIDLastSave="0" documentId="13_ncr:1_{651B2587-2289-4ECE-8801-5FCE0EF68239}" xr6:coauthVersionLast="47" xr6:coauthVersionMax="47" xr10:uidLastSave="{00000000-0000-0000-0000-000000000000}"/>
  <bookViews>
    <workbookView xWindow="2595" yWindow="855" windowWidth="11820" windowHeight="10410" activeTab="1" xr2:uid="{C3450C95-BCD9-4FDE-AF26-DA7C86B6A4F9}"/>
  </bookViews>
  <sheets>
    <sheet name="31 de agosto al 06 de septiembr" sheetId="1" r:id="rId1"/>
    <sheet name="07 al 13 de septiembre " sheetId="3" r:id="rId2"/>
    <sheet name="07 al 13 de septiembre  (2)" sheetId="4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24" i="4" l="1"/>
  <c r="AJ24" i="4"/>
  <c r="AI24" i="4"/>
  <c r="AH24" i="4"/>
  <c r="AF24" i="4"/>
  <c r="AE24" i="4"/>
  <c r="AD24" i="4"/>
  <c r="AC24" i="4"/>
  <c r="AA24" i="4"/>
  <c r="Z24" i="4"/>
  <c r="Y24" i="4"/>
  <c r="X24" i="4"/>
  <c r="V24" i="4"/>
  <c r="U24" i="4"/>
  <c r="T24" i="4"/>
  <c r="S24" i="4"/>
  <c r="Q24" i="4"/>
  <c r="P24" i="4"/>
  <c r="O24" i="4"/>
  <c r="N24" i="4"/>
  <c r="L24" i="4"/>
  <c r="K24" i="4"/>
  <c r="J24" i="4"/>
  <c r="I24" i="4"/>
  <c r="G24" i="4"/>
  <c r="F24" i="4"/>
  <c r="F29" i="4" s="1"/>
  <c r="E24" i="4"/>
  <c r="D24" i="4"/>
  <c r="AH5" i="4"/>
  <c r="AC5" i="4"/>
  <c r="X5" i="4"/>
  <c r="S5" i="4"/>
  <c r="N5" i="4"/>
  <c r="I5" i="4"/>
  <c r="D5" i="4"/>
  <c r="D2" i="4"/>
  <c r="AK24" i="3"/>
  <c r="AJ24" i="3"/>
  <c r="AI24" i="3"/>
  <c r="AH24" i="3"/>
  <c r="AF24" i="3"/>
  <c r="AE24" i="3"/>
  <c r="AD24" i="3"/>
  <c r="AC24" i="3"/>
  <c r="AA24" i="3"/>
  <c r="Z24" i="3"/>
  <c r="Y24" i="3"/>
  <c r="X24" i="3"/>
  <c r="V24" i="3"/>
  <c r="U24" i="3"/>
  <c r="T24" i="3"/>
  <c r="S24" i="3"/>
  <c r="Q24" i="3"/>
  <c r="P24" i="3"/>
  <c r="O24" i="3"/>
  <c r="N24" i="3"/>
  <c r="L24" i="3"/>
  <c r="K24" i="3"/>
  <c r="J24" i="3"/>
  <c r="I24" i="3"/>
  <c r="G24" i="3"/>
  <c r="F24" i="3"/>
  <c r="E24" i="3"/>
  <c r="D24" i="3"/>
  <c r="AH5" i="3"/>
  <c r="AC5" i="3"/>
  <c r="X5" i="3"/>
  <c r="S5" i="3"/>
  <c r="N5" i="3"/>
  <c r="I5" i="3"/>
  <c r="D5" i="3"/>
  <c r="D2" i="3"/>
  <c r="F28" i="4" l="1"/>
  <c r="F27" i="4"/>
  <c r="G27" i="4" s="1"/>
  <c r="F30" i="4"/>
  <c r="F29" i="3"/>
  <c r="F30" i="3"/>
  <c r="F28" i="3"/>
  <c r="F27" i="3"/>
  <c r="G27" i="3" s="1"/>
  <c r="D24" i="1"/>
  <c r="AK24" i="1"/>
  <c r="AF24" i="1"/>
  <c r="AA24" i="1"/>
  <c r="V24" i="1"/>
  <c r="Q24" i="1"/>
  <c r="L24" i="1"/>
  <c r="G24" i="1"/>
  <c r="Z24" i="1"/>
  <c r="AJ24" i="1"/>
  <c r="AH24" i="1"/>
  <c r="AD24" i="1"/>
  <c r="X24" i="1"/>
  <c r="AE24" i="1"/>
  <c r="Y24" i="1"/>
  <c r="AC24" i="1"/>
  <c r="AI24" i="1"/>
  <c r="T24" i="1"/>
  <c r="O24" i="1"/>
  <c r="J24" i="1"/>
  <c r="F30" i="1" l="1"/>
  <c r="U24" i="1"/>
  <c r="P24" i="1"/>
  <c r="K24" i="1"/>
  <c r="F24" i="1"/>
  <c r="E24" i="1"/>
  <c r="F28" i="1" s="1"/>
  <c r="S24" i="1"/>
  <c r="N24" i="1"/>
  <c r="I24" i="1"/>
  <c r="F27" i="1" l="1"/>
  <c r="F29" i="1"/>
  <c r="D2" i="1"/>
  <c r="AH5" i="1" l="1"/>
  <c r="AC5" i="1"/>
  <c r="X5" i="1"/>
  <c r="S5" i="1"/>
  <c r="N5" i="1"/>
  <c r="I5" i="1"/>
  <c r="D5" i="1"/>
</calcChain>
</file>

<file path=xl/sharedStrings.xml><?xml version="1.0" encoding="utf-8"?>
<sst xmlns="http://schemas.openxmlformats.org/spreadsheetml/2006/main" count="144" uniqueCount="23">
  <si>
    <t>M &amp; B Vertical S.A.C.</t>
  </si>
  <si>
    <t>HORARIO DE TRABAJO</t>
  </si>
  <si>
    <t xml:space="preserve">                                     </t>
  </si>
  <si>
    <t>NOMBRE</t>
  </si>
  <si>
    <t>Horas</t>
  </si>
  <si>
    <t>Colocar Fecha Inicio Semana</t>
  </si>
  <si>
    <t>ANGELY</t>
  </si>
  <si>
    <t>JEMIMA</t>
  </si>
  <si>
    <t>ANGELY JURADO</t>
  </si>
  <si>
    <t>JEMIMA CHAMBI</t>
  </si>
  <si>
    <t>DESCANSOS</t>
  </si>
  <si>
    <t xml:space="preserve"> HORAS DE CAPACITACION</t>
  </si>
  <si>
    <t>AHILYN</t>
  </si>
  <si>
    <t xml:space="preserve">AHILYN </t>
  </si>
  <si>
    <t>MIERCOLES</t>
  </si>
  <si>
    <t>JUEVES</t>
  </si>
  <si>
    <t>AHILYN ARCE</t>
  </si>
  <si>
    <t>MARTES</t>
  </si>
  <si>
    <t>LUZ</t>
  </si>
  <si>
    <t xml:space="preserve">LUZ AYALA </t>
  </si>
  <si>
    <t>VIERNES</t>
  </si>
  <si>
    <t>D</t>
  </si>
  <si>
    <t xml:space="preserve">LUNES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</si>
</sst>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280A]General"/>
    <numFmt numFmtId="165" formatCode="0.0"/>
  </numFmts>
  <fonts count="2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8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7"/>
      <name val="Calibri"/>
      <family val="2"/>
      <scheme val="minor"/>
    </font>
    <font>
      <sz val="7"/>
      <name val="Calibri"/>
      <family val="2"/>
      <scheme val="minor"/>
    </font>
    <font>
      <sz val="8"/>
      <name val="Calibri"/>
      <family val="2"/>
      <scheme val="minor"/>
    </font>
    <font>
      <sz val="14"/>
      <color rgb="FF000000"/>
      <name val="Calibri"/>
      <family val="2"/>
    </font>
    <font>
      <b/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90E2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164" fontId="4" fillId="0" borderId="0" applyBorder="0" applyProtection="0"/>
  </cellStyleXfs>
  <cellXfs count="77">
    <xf numFmtId="0" fontId="0" fillId="0" borderId="0" xfId="0"/>
    <xf numFmtId="0" fontId="3" fillId="0" borderId="0" xfId="0" applyFont="1" applyProtection="1">
      <protection locked="0"/>
    </xf>
    <xf numFmtId="164" fontId="4" fillId="0" borderId="0" xfId="1" applyProtection="1">
      <protection locked="0"/>
    </xf>
    <xf numFmtId="164" fontId="4" fillId="0" borderId="0" xfId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164" fontId="7" fillId="5" borderId="1" xfId="0" applyNumberFormat="1" applyFont="1" applyFill="1" applyBorder="1" applyAlignment="1" applyProtection="1">
      <alignment horizontal="center" vertical="center" textRotation="90" wrapText="1"/>
      <protection locked="0"/>
    </xf>
    <xf numFmtId="164" fontId="7" fillId="6" borderId="1" xfId="0" applyNumberFormat="1" applyFont="1" applyFill="1" applyBorder="1" applyAlignment="1" applyProtection="1">
      <alignment horizontal="center" vertical="center" textRotation="90" wrapText="1"/>
      <protection locked="0"/>
    </xf>
    <xf numFmtId="164" fontId="8" fillId="5" borderId="1" xfId="0" applyNumberFormat="1" applyFont="1" applyFill="1" applyBorder="1" applyAlignment="1" applyProtection="1">
      <alignment horizontal="center" vertical="center"/>
      <protection locked="0"/>
    </xf>
    <xf numFmtId="164" fontId="8" fillId="6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4" fontId="4" fillId="0" borderId="0" xfId="1" applyProtection="1"/>
    <xf numFmtId="0" fontId="10" fillId="0" borderId="0" xfId="0" applyFont="1"/>
    <xf numFmtId="0" fontId="9" fillId="2" borderId="2" xfId="0" applyFont="1" applyFill="1" applyBorder="1" applyAlignment="1">
      <alignment horizontal="centerContinuous" vertical="center"/>
    </xf>
    <xf numFmtId="164" fontId="5" fillId="2" borderId="0" xfId="0" applyNumberFormat="1" applyFont="1" applyFill="1" applyAlignment="1">
      <alignment horizontal="centerContinuous" vertical="center"/>
    </xf>
    <xf numFmtId="0" fontId="12" fillId="0" borderId="0" xfId="0" applyFont="1" applyProtection="1">
      <protection locked="0"/>
    </xf>
    <xf numFmtId="0" fontId="12" fillId="4" borderId="0" xfId="0" applyFont="1" applyFill="1" applyProtection="1">
      <protection locked="0"/>
    </xf>
    <xf numFmtId="0" fontId="2" fillId="0" borderId="0" xfId="0" applyFont="1" applyAlignment="1" applyProtection="1">
      <alignment vertical="center"/>
      <protection locked="0"/>
    </xf>
    <xf numFmtId="164" fontId="14" fillId="0" borderId="0" xfId="1" applyFont="1" applyProtection="1">
      <protection locked="0"/>
    </xf>
    <xf numFmtId="164" fontId="3" fillId="0" borderId="1" xfId="0" applyNumberFormat="1" applyFont="1" applyBorder="1" applyAlignment="1" applyProtection="1">
      <alignment horizontal="center"/>
      <protection locked="0"/>
    </xf>
    <xf numFmtId="0" fontId="3" fillId="0" borderId="0" xfId="0" applyFont="1"/>
    <xf numFmtId="0" fontId="16" fillId="0" borderId="0" xfId="0" applyFont="1"/>
    <xf numFmtId="0" fontId="16" fillId="0" borderId="0" xfId="0" applyFont="1" applyProtection="1">
      <protection locked="0"/>
    </xf>
    <xf numFmtId="164" fontId="15" fillId="0" borderId="0" xfId="0" applyNumberFormat="1" applyFont="1" applyAlignment="1" applyProtection="1">
      <alignment vertical="center"/>
      <protection locked="0"/>
    </xf>
    <xf numFmtId="0" fontId="6" fillId="2" borderId="1" xfId="0" applyFont="1" applyFill="1" applyBorder="1" applyProtection="1">
      <protection locked="0"/>
    </xf>
    <xf numFmtId="0" fontId="6" fillId="2" borderId="1" xfId="0" applyFont="1" applyFill="1" applyBorder="1" applyAlignment="1" applyProtection="1">
      <alignment horizontal="centerContinuous" vertical="center"/>
      <protection locked="0"/>
    </xf>
    <xf numFmtId="0" fontId="9" fillId="2" borderId="0" xfId="0" applyFont="1" applyFill="1" applyAlignment="1">
      <alignment horizontal="centerContinuous" vertical="center"/>
    </xf>
    <xf numFmtId="0" fontId="1" fillId="2" borderId="0" xfId="0" applyFont="1" applyFill="1" applyAlignment="1">
      <alignment horizontal="center" vertical="center"/>
    </xf>
    <xf numFmtId="0" fontId="6" fillId="2" borderId="0" xfId="0" applyFont="1" applyFill="1" applyAlignment="1" applyProtection="1">
      <alignment horizontal="centerContinuous" vertical="center"/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 vertical="center"/>
      <protection locked="0"/>
    </xf>
    <xf numFmtId="164" fontId="8" fillId="8" borderId="0" xfId="0" applyNumberFormat="1" applyFont="1" applyFill="1" applyAlignment="1" applyProtection="1">
      <alignment horizontal="center" vertical="center"/>
      <protection locked="0"/>
    </xf>
    <xf numFmtId="164" fontId="7" fillId="8" borderId="1" xfId="0" applyNumberFormat="1" applyFont="1" applyFill="1" applyBorder="1" applyAlignment="1" applyProtection="1">
      <alignment horizontal="center" vertical="center" textRotation="90" wrapText="1"/>
      <protection locked="0"/>
    </xf>
    <xf numFmtId="164" fontId="11" fillId="8" borderId="1" xfId="0" applyNumberFormat="1" applyFont="1" applyFill="1" applyBorder="1" applyAlignment="1" applyProtection="1">
      <alignment horizontal="center" vertical="center"/>
      <protection locked="0"/>
    </xf>
    <xf numFmtId="0" fontId="9" fillId="2" borderId="1" xfId="0" applyFont="1" applyFill="1" applyBorder="1" applyAlignment="1">
      <alignment horizontal="centerContinuous" vertical="center"/>
    </xf>
    <xf numFmtId="0" fontId="1" fillId="2" borderId="4" xfId="0" applyFont="1" applyFill="1" applyBorder="1" applyAlignment="1">
      <alignment horizontal="center" vertical="center"/>
    </xf>
    <xf numFmtId="164" fontId="8" fillId="8" borderId="1" xfId="0" applyNumberFormat="1" applyFont="1" applyFill="1" applyBorder="1" applyAlignment="1" applyProtection="1">
      <alignment horizontal="center" vertical="center"/>
      <protection locked="0"/>
    </xf>
    <xf numFmtId="164" fontId="8" fillId="5" borderId="0" xfId="0" applyNumberFormat="1" applyFont="1" applyFill="1" applyAlignment="1" applyProtection="1">
      <alignment horizontal="center" vertical="center"/>
      <protection locked="0"/>
    </xf>
    <xf numFmtId="164" fontId="8" fillId="6" borderId="0" xfId="0" applyNumberFormat="1" applyFont="1" applyFill="1" applyAlignment="1" applyProtection="1">
      <alignment horizontal="center" vertical="center"/>
      <protection locked="0"/>
    </xf>
    <xf numFmtId="164" fontId="8" fillId="5" borderId="6" xfId="0" applyNumberFormat="1" applyFont="1" applyFill="1" applyBorder="1" applyAlignment="1" applyProtection="1">
      <alignment horizontal="center" vertical="center"/>
      <protection locked="0"/>
    </xf>
    <xf numFmtId="164" fontId="3" fillId="0" borderId="0" xfId="0" applyNumberFormat="1" applyFont="1"/>
    <xf numFmtId="165" fontId="0" fillId="0" borderId="0" xfId="0" applyNumberFormat="1" applyAlignment="1" applyProtection="1">
      <alignment horizontal="center" vertical="center"/>
      <protection locked="0"/>
    </xf>
    <xf numFmtId="164" fontId="11" fillId="8" borderId="3" xfId="0" applyNumberFormat="1" applyFont="1" applyFill="1" applyBorder="1" applyAlignment="1" applyProtection="1">
      <alignment horizontal="center" vertical="center"/>
      <protection locked="0"/>
    </xf>
    <xf numFmtId="0" fontId="1" fillId="2" borderId="7" xfId="0" applyFont="1" applyFill="1" applyBorder="1" applyAlignment="1">
      <alignment horizontal="center" vertical="center"/>
    </xf>
    <xf numFmtId="164" fontId="11" fillId="9" borderId="1" xfId="0" applyNumberFormat="1" applyFont="1" applyFill="1" applyBorder="1" applyAlignment="1" applyProtection="1">
      <alignment horizontal="center" vertical="center"/>
      <protection locked="0"/>
    </xf>
    <xf numFmtId="164" fontId="11" fillId="9" borderId="5" xfId="0" applyNumberFormat="1" applyFont="1" applyFill="1" applyBorder="1" applyAlignment="1" applyProtection="1">
      <alignment horizontal="center" vertical="center"/>
      <protection locked="0"/>
    </xf>
    <xf numFmtId="164" fontId="18" fillId="9" borderId="1" xfId="0" applyNumberFormat="1" applyFont="1" applyFill="1" applyBorder="1" applyAlignment="1" applyProtection="1">
      <alignment horizontal="center" vertical="center" textRotation="90" wrapText="1"/>
      <protection locked="0"/>
    </xf>
    <xf numFmtId="164" fontId="19" fillId="5" borderId="1" xfId="0" applyNumberFormat="1" applyFont="1" applyFill="1" applyBorder="1" applyAlignment="1" applyProtection="1">
      <alignment vertical="center"/>
      <protection locked="0"/>
    </xf>
    <xf numFmtId="164" fontId="19" fillId="6" borderId="1" xfId="0" applyNumberFormat="1" applyFont="1" applyFill="1" applyBorder="1" applyAlignment="1" applyProtection="1">
      <alignment vertical="center"/>
      <protection locked="0"/>
    </xf>
    <xf numFmtId="164" fontId="19" fillId="8" borderId="1" xfId="0" applyNumberFormat="1" applyFont="1" applyFill="1" applyBorder="1" applyAlignment="1" applyProtection="1">
      <alignment vertical="center"/>
      <protection locked="0"/>
    </xf>
    <xf numFmtId="164" fontId="19" fillId="9" borderId="1" xfId="0" applyNumberFormat="1" applyFont="1" applyFill="1" applyBorder="1" applyAlignment="1" applyProtection="1">
      <alignment vertical="center"/>
      <protection locked="0"/>
    </xf>
    <xf numFmtId="164" fontId="20" fillId="0" borderId="0" xfId="1" applyFont="1" applyProtection="1">
      <protection locked="0"/>
    </xf>
    <xf numFmtId="164" fontId="21" fillId="0" borderId="0" xfId="1" applyFont="1" applyProtection="1">
      <protection locked="0"/>
    </xf>
    <xf numFmtId="0" fontId="22" fillId="0" borderId="0" xfId="0" applyFont="1" applyProtection="1">
      <protection locked="0"/>
    </xf>
    <xf numFmtId="0" fontId="23" fillId="7" borderId="1" xfId="0" applyFont="1" applyFill="1" applyBorder="1" applyAlignment="1">
      <alignment horizontal="center" vertical="center" wrapText="1"/>
    </xf>
    <xf numFmtId="14" fontId="22" fillId="0" borderId="1" xfId="0" applyNumberFormat="1" applyFont="1" applyBorder="1" applyAlignment="1" applyProtection="1">
      <alignment horizontal="center" vertical="center"/>
      <protection locked="0"/>
    </xf>
    <xf numFmtId="20" fontId="23" fillId="3" borderId="1" xfId="0" applyNumberFormat="1" applyFont="1" applyFill="1" applyBorder="1"/>
    <xf numFmtId="0" fontId="22" fillId="0" borderId="0" xfId="0" applyFont="1"/>
    <xf numFmtId="165" fontId="22" fillId="0" borderId="0" xfId="0" applyNumberFormat="1" applyFont="1"/>
    <xf numFmtId="165" fontId="23" fillId="0" borderId="0" xfId="0" applyNumberFormat="1" applyFont="1" applyAlignment="1">
      <alignment horizontal="center" vertical="center"/>
    </xf>
    <xf numFmtId="165" fontId="20" fillId="0" borderId="0" xfId="1" applyNumberFormat="1" applyFont="1" applyProtection="1"/>
    <xf numFmtId="165" fontId="19" fillId="5" borderId="1" xfId="0" applyNumberFormat="1" applyFont="1" applyFill="1" applyBorder="1" applyAlignment="1">
      <alignment horizontal="center" vertical="center"/>
    </xf>
    <xf numFmtId="165" fontId="19" fillId="6" borderId="1" xfId="0" applyNumberFormat="1" applyFont="1" applyFill="1" applyBorder="1" applyAlignment="1">
      <alignment horizontal="center" vertical="center"/>
    </xf>
    <xf numFmtId="165" fontId="19" fillId="8" borderId="3" xfId="0" applyNumberFormat="1" applyFont="1" applyFill="1" applyBorder="1" applyAlignment="1">
      <alignment horizontal="center" vertical="center"/>
    </xf>
    <xf numFmtId="165" fontId="19" fillId="9" borderId="1" xfId="0" applyNumberFormat="1" applyFont="1" applyFill="1" applyBorder="1" applyAlignment="1">
      <alignment horizontal="center" vertical="center"/>
    </xf>
    <xf numFmtId="165" fontId="24" fillId="0" borderId="0" xfId="0" applyNumberFormat="1" applyFont="1"/>
    <xf numFmtId="165" fontId="19" fillId="8" borderId="1" xfId="0" applyNumberFormat="1" applyFont="1" applyFill="1" applyBorder="1" applyAlignment="1">
      <alignment horizontal="center" vertical="center"/>
    </xf>
    <xf numFmtId="0" fontId="3" fillId="4" borderId="0" xfId="0" applyFont="1" applyFill="1"/>
    <xf numFmtId="0" fontId="16" fillId="4" borderId="0" xfId="0" applyFont="1" applyFill="1"/>
    <xf numFmtId="164" fontId="16" fillId="4" borderId="0" xfId="0" applyNumberFormat="1" applyFont="1" applyFill="1" applyProtection="1">
      <protection locked="0"/>
    </xf>
    <xf numFmtId="0" fontId="16" fillId="4" borderId="0" xfId="0" applyFont="1" applyFill="1" applyProtection="1">
      <protection locked="0"/>
    </xf>
    <xf numFmtId="164" fontId="3" fillId="4" borderId="0" xfId="0" applyNumberFormat="1" applyFont="1" applyFill="1"/>
    <xf numFmtId="0" fontId="0" fillId="4" borderId="0" xfId="0" applyFill="1" applyProtection="1">
      <protection locked="0"/>
    </xf>
    <xf numFmtId="164" fontId="25" fillId="4" borderId="0" xfId="0" applyNumberFormat="1" applyFont="1" applyFill="1"/>
    <xf numFmtId="0" fontId="17" fillId="0" borderId="1" xfId="0" applyFont="1" applyBorder="1" applyAlignment="1" applyProtection="1">
      <alignment horizontal="center"/>
      <protection locked="0"/>
    </xf>
    <xf numFmtId="0" fontId="1" fillId="2" borderId="2" xfId="0" applyFont="1" applyFill="1" applyBorder="1" applyAlignment="1">
      <alignment horizontal="center" vertical="center"/>
    </xf>
    <xf numFmtId="0" fontId="6" fillId="2" borderId="1" xfId="0" applyFont="1" applyFill="1" applyBorder="1" applyAlignment="1" applyProtection="1">
      <alignment horizontal="center"/>
      <protection locked="0"/>
    </xf>
  </cellXfs>
  <cellStyles count="2">
    <cellStyle name="Excel Built-in Normal" xfId="1" xr:uid="{DC3C7A4C-2BEC-4E1E-AA9F-2BE92369A89F}"/>
    <cellStyle name="Normal" xfId="0" builtinId="0"/>
  </cellStyles>
  <dxfs count="66"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</dxfs>
  <tableStyles count="0" defaultTableStyle="TableStyleMedium2" defaultPivotStyle="PivotStyleLight16"/>
  <colors>
    <mruColors>
      <color rgb="FF36A851"/>
      <color rgb="FF49A579"/>
      <color rgb="FF51A57D"/>
      <color rgb="FF60CD5B"/>
      <color rgb="FFC0EFF8"/>
      <color rgb="FFFF8F8F"/>
      <color rgb="FFE123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87DB5-9D7E-4FD1-84A1-32544B7394B4}">
  <sheetPr codeName="Hoja1"/>
  <dimension ref="A1:AK34"/>
  <sheetViews>
    <sheetView showGridLines="0" zoomScale="50" zoomScaleNormal="50" workbookViewId="0">
      <pane xSplit="3" ySplit="6" topLeftCell="D7" activePane="bottomRight" state="frozen"/>
      <selection pane="topRight" activeCell="D1" sqref="D1"/>
      <selection pane="bottomLeft" activeCell="A8" sqref="A8"/>
      <selection pane="bottomRight" activeCell="L16" sqref="L16"/>
    </sheetView>
  </sheetViews>
  <sheetFormatPr baseColWidth="10" defaultRowHeight="15" x14ac:dyDescent="0.25"/>
  <cols>
    <col min="1" max="1" width="1.5703125" style="4" customWidth="1"/>
    <col min="2" max="2" width="15.5703125" style="4" customWidth="1"/>
    <col min="3" max="3" width="19" style="4" customWidth="1"/>
    <col min="4" max="5" width="7.7109375" style="4" customWidth="1"/>
    <col min="6" max="6" width="11.140625" style="4" customWidth="1"/>
    <col min="7" max="7" width="8.140625" style="4" customWidth="1"/>
    <col min="8" max="8" width="10.5703125" style="4" customWidth="1"/>
    <col min="9" max="37" width="7.7109375" style="4" customWidth="1"/>
    <col min="38" max="38" width="5.140625" style="4" customWidth="1"/>
    <col min="39" max="16384" width="11.42578125" style="4"/>
  </cols>
  <sheetData>
    <row r="1" spans="1:37" ht="17.25" customHeight="1" x14ac:dyDescent="0.3">
      <c r="A1" s="1" t="s">
        <v>0</v>
      </c>
      <c r="B1" s="51"/>
      <c r="C1" s="51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</row>
    <row r="2" spans="1:37" ht="22.5" customHeight="1" x14ac:dyDescent="0.25">
      <c r="A2" s="17" t="s">
        <v>1</v>
      </c>
      <c r="B2" s="52"/>
      <c r="C2" s="52"/>
      <c r="D2" s="14" t="str">
        <f>UPPER(CONCATENATE("HORARIO ",TEXT(DAY(C5),"00")," DE ",TEXT(C5,"mmmm")," AL ",TEXT(DAY(C5+6),"00")," DE ",TEXT(C5+6,"mmmm")))</f>
        <v>HORARIO 31 DE AGOSTO AL 06 DE SETIEMBRE</v>
      </c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</row>
    <row r="3" spans="1:37" ht="15.75" x14ac:dyDescent="0.25">
      <c r="A3" s="5"/>
      <c r="B3" s="53"/>
      <c r="C3" s="53"/>
    </row>
    <row r="4" spans="1:37" ht="15.75" x14ac:dyDescent="0.25">
      <c r="B4" s="53"/>
      <c r="C4" s="53"/>
    </row>
    <row r="5" spans="1:37" ht="36.75" customHeight="1" x14ac:dyDescent="0.4">
      <c r="B5" s="54" t="s">
        <v>5</v>
      </c>
      <c r="C5" s="55">
        <v>46265</v>
      </c>
      <c r="D5" s="34" t="str">
        <f>CONCATENATE("Lunes ",TEXT(DAY(C5),"00"))</f>
        <v>Lunes 31</v>
      </c>
      <c r="E5" s="34"/>
      <c r="F5" s="34"/>
      <c r="G5" s="34"/>
      <c r="H5" s="12"/>
      <c r="I5" s="34" t="str">
        <f>CONCATENATE("Martes ",TEXT(DAY(C5+1),"00"))</f>
        <v>Martes 01</v>
      </c>
      <c r="J5" s="34"/>
      <c r="K5" s="34"/>
      <c r="L5" s="26"/>
      <c r="M5" s="12"/>
      <c r="N5" s="13" t="str">
        <f>CONCATENATE("Miercoles ",TEXT(DAY(C5+2),"00"))</f>
        <v>Miercoles 02</v>
      </c>
      <c r="O5" s="13"/>
      <c r="P5" s="26"/>
      <c r="Q5" s="26"/>
      <c r="R5" s="12"/>
      <c r="S5" s="13" t="str">
        <f>CONCATENATE("Jueves ",TEXT(DAY(C5+3),"00"))</f>
        <v>Jueves 03</v>
      </c>
      <c r="T5" s="13"/>
      <c r="U5" s="26"/>
      <c r="V5" s="26"/>
      <c r="W5" s="12"/>
      <c r="X5" s="13" t="str">
        <f>CONCATENATE("Viernes ",TEXT(DAY(C5+4),"00"))</f>
        <v>Viernes 04</v>
      </c>
      <c r="Y5" s="13"/>
      <c r="Z5" s="26"/>
      <c r="AA5" s="26"/>
      <c r="AB5" s="12"/>
      <c r="AC5" s="13" t="str">
        <f>CONCATENATE("Sábado ",TEXT(DAY(C5+5),"00"))</f>
        <v>Sábado 05</v>
      </c>
      <c r="AD5" s="13"/>
      <c r="AE5" s="26"/>
      <c r="AF5" s="26"/>
      <c r="AG5" s="12"/>
      <c r="AH5" s="13" t="str">
        <f>CONCATENATE("Domingo ",TEXT(DAY(C5+6),"00"))</f>
        <v>Domingo 06</v>
      </c>
      <c r="AI5" s="13"/>
      <c r="AJ5" s="26"/>
      <c r="AK5" s="26"/>
    </row>
    <row r="6" spans="1:37" ht="81.75" customHeight="1" x14ac:dyDescent="0.25">
      <c r="B6" s="53"/>
      <c r="C6" s="53"/>
      <c r="D6" s="6" t="s">
        <v>6</v>
      </c>
      <c r="E6" s="7" t="s">
        <v>7</v>
      </c>
      <c r="F6" s="32" t="s">
        <v>13</v>
      </c>
      <c r="G6" s="46" t="s">
        <v>18</v>
      </c>
      <c r="I6" s="6" t="s">
        <v>6</v>
      </c>
      <c r="J6" s="7" t="s">
        <v>7</v>
      </c>
      <c r="K6" s="32" t="s">
        <v>13</v>
      </c>
      <c r="L6" s="46" t="s">
        <v>18</v>
      </c>
      <c r="N6" s="6" t="s">
        <v>6</v>
      </c>
      <c r="O6" s="7" t="s">
        <v>7</v>
      </c>
      <c r="P6" s="32" t="s">
        <v>13</v>
      </c>
      <c r="Q6" s="46" t="s">
        <v>18</v>
      </c>
      <c r="S6" s="6" t="s">
        <v>6</v>
      </c>
      <c r="T6" s="7" t="s">
        <v>7</v>
      </c>
      <c r="U6" s="32" t="s">
        <v>13</v>
      </c>
      <c r="V6" s="46" t="s">
        <v>18</v>
      </c>
      <c r="X6" s="6" t="s">
        <v>6</v>
      </c>
      <c r="Y6" s="7" t="s">
        <v>7</v>
      </c>
      <c r="Z6" s="32" t="s">
        <v>13</v>
      </c>
      <c r="AA6" s="46" t="s">
        <v>18</v>
      </c>
      <c r="AC6" s="6" t="s">
        <v>6</v>
      </c>
      <c r="AD6" s="7" t="s">
        <v>7</v>
      </c>
      <c r="AE6" s="32" t="s">
        <v>12</v>
      </c>
      <c r="AF6" s="46" t="s">
        <v>18</v>
      </c>
      <c r="AH6" s="6" t="s">
        <v>6</v>
      </c>
      <c r="AI6" s="7" t="s">
        <v>7</v>
      </c>
      <c r="AJ6" s="32" t="s">
        <v>12</v>
      </c>
      <c r="AK6" s="46" t="s">
        <v>18</v>
      </c>
    </row>
    <row r="7" spans="1:37" ht="15.75" x14ac:dyDescent="0.25">
      <c r="B7" s="56">
        <v>0.33333333333333298</v>
      </c>
      <c r="C7" s="56">
        <v>0.375</v>
      </c>
      <c r="D7" s="8"/>
      <c r="E7" s="9"/>
      <c r="F7" s="42"/>
      <c r="G7" s="44"/>
      <c r="H7" s="15"/>
      <c r="I7" s="8"/>
      <c r="J7" s="9"/>
      <c r="K7" s="33"/>
      <c r="L7" s="44"/>
      <c r="M7" s="15"/>
      <c r="N7" s="8"/>
      <c r="O7" s="9"/>
      <c r="P7" s="33"/>
      <c r="Q7" s="44"/>
      <c r="R7" s="15"/>
      <c r="S7" s="8"/>
      <c r="T7" s="9"/>
      <c r="U7" s="33"/>
      <c r="V7" s="44"/>
      <c r="W7" s="15"/>
      <c r="X7" s="8"/>
      <c r="Y7" s="9"/>
      <c r="Z7" s="33"/>
      <c r="AA7" s="44"/>
      <c r="AB7" s="15"/>
      <c r="AC7" s="8"/>
      <c r="AD7" s="9"/>
      <c r="AE7" s="33"/>
      <c r="AF7" s="44"/>
      <c r="AG7" s="15"/>
      <c r="AH7" s="8"/>
      <c r="AI7" s="9"/>
      <c r="AJ7" s="33"/>
      <c r="AK7" s="44"/>
    </row>
    <row r="8" spans="1:37" ht="15.75" x14ac:dyDescent="0.25">
      <c r="B8" s="56">
        <v>0.375</v>
      </c>
      <c r="C8" s="56">
        <v>0.41666666666666702</v>
      </c>
      <c r="D8" s="8">
        <v>1</v>
      </c>
      <c r="E8" s="9"/>
      <c r="F8" s="42"/>
      <c r="G8" s="44"/>
      <c r="H8" s="15"/>
      <c r="I8" s="8"/>
      <c r="J8" s="9"/>
      <c r="K8" s="33"/>
      <c r="L8" s="44">
        <v>1</v>
      </c>
      <c r="M8" s="15"/>
      <c r="N8" s="8"/>
      <c r="O8" s="9">
        <v>1</v>
      </c>
      <c r="P8" s="33"/>
      <c r="Q8" s="44"/>
      <c r="R8" s="15"/>
      <c r="S8" s="8"/>
      <c r="T8" s="9">
        <v>1</v>
      </c>
      <c r="U8" s="33"/>
      <c r="V8" s="44"/>
      <c r="W8" s="15"/>
      <c r="X8" s="8">
        <v>1</v>
      </c>
      <c r="Y8" s="9"/>
      <c r="Z8" s="33"/>
      <c r="AA8" s="44"/>
      <c r="AB8" s="15"/>
      <c r="AC8" s="8">
        <v>1</v>
      </c>
      <c r="AD8" s="9"/>
      <c r="AE8" s="33"/>
      <c r="AF8" s="44"/>
      <c r="AG8" s="15"/>
      <c r="AH8" s="8"/>
      <c r="AI8" s="9">
        <v>1</v>
      </c>
      <c r="AJ8" s="33"/>
      <c r="AK8" s="44"/>
    </row>
    <row r="9" spans="1:37" ht="15.75" x14ac:dyDescent="0.25">
      <c r="A9" s="2"/>
      <c r="B9" s="56">
        <v>0.41666666666666669</v>
      </c>
      <c r="C9" s="56">
        <v>0.45833333333333331</v>
      </c>
      <c r="D9" s="8">
        <v>1</v>
      </c>
      <c r="E9" s="9"/>
      <c r="F9" s="42"/>
      <c r="G9" s="44"/>
      <c r="H9" s="15"/>
      <c r="I9" s="8"/>
      <c r="J9" s="9"/>
      <c r="K9" s="33"/>
      <c r="L9" s="44">
        <v>1</v>
      </c>
      <c r="M9" s="15"/>
      <c r="N9" s="8"/>
      <c r="O9" s="9">
        <v>1</v>
      </c>
      <c r="P9" s="33"/>
      <c r="Q9" s="44"/>
      <c r="R9" s="15"/>
      <c r="S9" s="8"/>
      <c r="T9" s="9">
        <v>1</v>
      </c>
      <c r="U9" s="30"/>
      <c r="V9" s="44"/>
      <c r="W9" s="15"/>
      <c r="X9" s="8">
        <v>1</v>
      </c>
      <c r="Y9" s="9"/>
      <c r="Z9" s="36"/>
      <c r="AA9" s="44"/>
      <c r="AB9" s="15"/>
      <c r="AC9" s="8">
        <v>1</v>
      </c>
      <c r="AD9" s="9"/>
      <c r="AE9" s="31"/>
      <c r="AF9" s="44"/>
      <c r="AG9" s="15"/>
      <c r="AH9" s="8"/>
      <c r="AI9" s="9">
        <v>1</v>
      </c>
      <c r="AJ9" s="36"/>
      <c r="AK9" s="44"/>
    </row>
    <row r="10" spans="1:37" ht="15" customHeight="1" x14ac:dyDescent="0.25">
      <c r="A10" s="2"/>
      <c r="B10" s="56">
        <v>0.45833333333333331</v>
      </c>
      <c r="C10" s="56">
        <v>0.5</v>
      </c>
      <c r="D10" s="8">
        <v>1</v>
      </c>
      <c r="E10" s="9"/>
      <c r="F10" s="42"/>
      <c r="G10" s="44"/>
      <c r="H10" s="15"/>
      <c r="I10" s="8">
        <v>1</v>
      </c>
      <c r="J10" s="9"/>
      <c r="K10" s="33"/>
      <c r="L10" s="44">
        <v>1</v>
      </c>
      <c r="M10" s="15"/>
      <c r="N10" s="8"/>
      <c r="O10" s="9">
        <v>1</v>
      </c>
      <c r="P10" s="33"/>
      <c r="Q10" s="44"/>
      <c r="R10" s="15"/>
      <c r="S10" s="8"/>
      <c r="T10" s="9">
        <v>1</v>
      </c>
      <c r="U10" s="30"/>
      <c r="V10" s="44"/>
      <c r="W10" s="15"/>
      <c r="X10" s="8">
        <v>1</v>
      </c>
      <c r="Y10" s="9"/>
      <c r="Z10" s="36"/>
      <c r="AA10" s="44"/>
      <c r="AB10" s="15"/>
      <c r="AC10" s="8">
        <v>1</v>
      </c>
      <c r="AD10" s="9"/>
      <c r="AE10" s="31"/>
      <c r="AF10" s="44"/>
      <c r="AG10" s="15"/>
      <c r="AH10" s="8">
        <v>1</v>
      </c>
      <c r="AI10" s="9">
        <v>1</v>
      </c>
      <c r="AJ10" s="36"/>
      <c r="AK10" s="44"/>
    </row>
    <row r="11" spans="1:37" ht="15.75" x14ac:dyDescent="0.25">
      <c r="A11" s="2"/>
      <c r="B11" s="56">
        <v>0.5</v>
      </c>
      <c r="C11" s="56">
        <v>0.54166666666666663</v>
      </c>
      <c r="D11" s="8">
        <v>1</v>
      </c>
      <c r="E11" s="9">
        <v>1</v>
      </c>
      <c r="F11" s="42"/>
      <c r="G11" s="44"/>
      <c r="H11" s="15"/>
      <c r="I11" s="8">
        <v>1</v>
      </c>
      <c r="J11" s="9"/>
      <c r="K11" s="33"/>
      <c r="L11" s="44"/>
      <c r="M11" s="15"/>
      <c r="N11" s="8"/>
      <c r="O11" s="9">
        <v>1</v>
      </c>
      <c r="P11" s="33"/>
      <c r="Q11" s="44"/>
      <c r="R11" s="15"/>
      <c r="S11" s="8"/>
      <c r="T11" s="9">
        <v>1</v>
      </c>
      <c r="U11" s="30"/>
      <c r="V11" s="44"/>
      <c r="W11" s="15"/>
      <c r="X11" s="8">
        <v>1</v>
      </c>
      <c r="Y11" s="9">
        <v>1</v>
      </c>
      <c r="Z11" s="36"/>
      <c r="AA11" s="44"/>
      <c r="AB11" s="15"/>
      <c r="AC11" s="8">
        <v>1</v>
      </c>
      <c r="AD11" s="9"/>
      <c r="AE11" s="31"/>
      <c r="AF11" s="44"/>
      <c r="AG11" s="15"/>
      <c r="AH11" s="8">
        <v>1</v>
      </c>
      <c r="AI11" s="9">
        <v>1</v>
      </c>
      <c r="AJ11" s="36"/>
      <c r="AK11" s="44"/>
    </row>
    <row r="12" spans="1:37" ht="15" customHeight="1" x14ac:dyDescent="0.25">
      <c r="A12" s="2"/>
      <c r="B12" s="56">
        <v>0.54166666666666663</v>
      </c>
      <c r="C12" s="56">
        <v>0.58333333333333304</v>
      </c>
      <c r="D12" s="8">
        <v>1</v>
      </c>
      <c r="E12" s="9">
        <v>1</v>
      </c>
      <c r="F12" s="42"/>
      <c r="G12" s="44"/>
      <c r="H12" s="16"/>
      <c r="I12" s="8"/>
      <c r="J12" s="9"/>
      <c r="K12" s="33"/>
      <c r="L12" s="44">
        <v>1</v>
      </c>
      <c r="M12" s="16"/>
      <c r="N12" s="8"/>
      <c r="O12" s="9">
        <v>1</v>
      </c>
      <c r="P12" s="33"/>
      <c r="Q12" s="44"/>
      <c r="R12" s="16"/>
      <c r="S12" s="8">
        <v>1</v>
      </c>
      <c r="T12" s="9"/>
      <c r="U12" s="33"/>
      <c r="V12" s="44"/>
      <c r="W12" s="16"/>
      <c r="X12" s="8"/>
      <c r="Y12" s="9">
        <v>1</v>
      </c>
      <c r="Z12" s="33"/>
      <c r="AA12" s="44"/>
      <c r="AB12" s="16"/>
      <c r="AC12" s="8">
        <v>1</v>
      </c>
      <c r="AD12" s="9"/>
      <c r="AE12" s="33"/>
      <c r="AF12" s="44"/>
      <c r="AG12" s="16"/>
      <c r="AH12" s="8">
        <v>1</v>
      </c>
      <c r="AI12" s="9"/>
      <c r="AJ12" s="33"/>
      <c r="AK12" s="44"/>
    </row>
    <row r="13" spans="1:37" ht="15" customHeight="1" x14ac:dyDescent="0.25">
      <c r="A13" s="2" t="s">
        <v>2</v>
      </c>
      <c r="B13" s="56">
        <v>0.58333333333333304</v>
      </c>
      <c r="C13" s="56">
        <v>0.625</v>
      </c>
      <c r="D13" s="8"/>
      <c r="E13" s="9">
        <v>1</v>
      </c>
      <c r="F13" s="42"/>
      <c r="G13" s="44"/>
      <c r="H13" s="15"/>
      <c r="I13" s="8">
        <v>1</v>
      </c>
      <c r="J13" s="9"/>
      <c r="K13" s="33"/>
      <c r="L13" s="44">
        <v>1</v>
      </c>
      <c r="M13" s="15"/>
      <c r="N13" s="8"/>
      <c r="O13" s="9"/>
      <c r="P13" s="33"/>
      <c r="Q13" s="44">
        <v>1</v>
      </c>
      <c r="R13" s="15"/>
      <c r="S13" s="8"/>
      <c r="T13" s="9">
        <v>1</v>
      </c>
      <c r="U13" s="33"/>
      <c r="V13" s="44"/>
      <c r="W13" s="15"/>
      <c r="X13" s="8">
        <v>1</v>
      </c>
      <c r="Y13" s="9"/>
      <c r="Z13" s="33"/>
      <c r="AA13" s="44"/>
      <c r="AB13" s="15"/>
      <c r="AC13" s="8"/>
      <c r="AD13" s="9">
        <v>1</v>
      </c>
      <c r="AE13" s="33"/>
      <c r="AF13" s="44"/>
      <c r="AG13" s="15"/>
      <c r="AH13" s="8"/>
      <c r="AI13" s="9">
        <v>1</v>
      </c>
      <c r="AJ13" s="33"/>
      <c r="AK13" s="44"/>
    </row>
    <row r="14" spans="1:37" ht="15" customHeight="1" x14ac:dyDescent="0.25">
      <c r="A14" s="2"/>
      <c r="B14" s="56">
        <v>0.625</v>
      </c>
      <c r="C14" s="56">
        <v>0.66666666666666696</v>
      </c>
      <c r="D14" s="8">
        <v>1</v>
      </c>
      <c r="E14" s="9"/>
      <c r="F14" s="42"/>
      <c r="G14" s="44"/>
      <c r="H14" s="15"/>
      <c r="I14" s="8">
        <v>1</v>
      </c>
      <c r="J14" s="9"/>
      <c r="K14" s="33"/>
      <c r="L14" s="44">
        <v>1</v>
      </c>
      <c r="M14" s="15"/>
      <c r="N14" s="8"/>
      <c r="O14" s="9">
        <v>1</v>
      </c>
      <c r="P14" s="33"/>
      <c r="Q14" s="44"/>
      <c r="R14" s="15"/>
      <c r="S14" s="8">
        <v>1</v>
      </c>
      <c r="T14" s="9">
        <v>1</v>
      </c>
      <c r="U14" s="33"/>
      <c r="V14" s="44"/>
      <c r="W14" s="15"/>
      <c r="X14" s="8">
        <v>1</v>
      </c>
      <c r="Y14" s="9">
        <v>1</v>
      </c>
      <c r="Z14" s="33"/>
      <c r="AA14" s="44"/>
      <c r="AB14" s="15"/>
      <c r="AC14" s="8">
        <v>1</v>
      </c>
      <c r="AD14" s="9"/>
      <c r="AE14" s="33"/>
      <c r="AF14" s="44"/>
      <c r="AG14" s="15"/>
      <c r="AH14" s="8">
        <v>1</v>
      </c>
      <c r="AI14" s="9">
        <v>1</v>
      </c>
      <c r="AJ14" s="33"/>
      <c r="AK14" s="44"/>
    </row>
    <row r="15" spans="1:37" ht="15.75" x14ac:dyDescent="0.25">
      <c r="A15" s="2"/>
      <c r="B15" s="56">
        <v>0.66666666666666696</v>
      </c>
      <c r="C15" s="56">
        <v>0.70833333333333304</v>
      </c>
      <c r="D15" s="8">
        <v>1</v>
      </c>
      <c r="E15" s="9">
        <v>1</v>
      </c>
      <c r="F15" s="42"/>
      <c r="G15" s="44"/>
      <c r="H15" s="15"/>
      <c r="I15" s="8">
        <v>1</v>
      </c>
      <c r="J15" s="9"/>
      <c r="K15" s="33"/>
      <c r="L15" s="44">
        <v>1</v>
      </c>
      <c r="M15" s="15"/>
      <c r="N15" s="8"/>
      <c r="O15" s="9">
        <v>1</v>
      </c>
      <c r="P15" s="33"/>
      <c r="Q15" s="44">
        <v>1</v>
      </c>
      <c r="R15" s="15"/>
      <c r="S15" s="8">
        <v>1</v>
      </c>
      <c r="T15" s="9">
        <v>1</v>
      </c>
      <c r="U15" s="33"/>
      <c r="V15" s="44"/>
      <c r="W15" s="15"/>
      <c r="X15" s="8">
        <v>1</v>
      </c>
      <c r="Y15" s="9">
        <v>1</v>
      </c>
      <c r="Z15" s="33"/>
      <c r="AA15" s="44"/>
      <c r="AB15" s="15"/>
      <c r="AC15" s="8">
        <v>1</v>
      </c>
      <c r="AD15" s="9">
        <v>1</v>
      </c>
      <c r="AE15" s="33"/>
      <c r="AF15" s="44"/>
      <c r="AG15" s="15"/>
      <c r="AH15" s="8">
        <v>1</v>
      </c>
      <c r="AI15" s="9">
        <v>1</v>
      </c>
      <c r="AJ15" s="33"/>
      <c r="AK15" s="44"/>
    </row>
    <row r="16" spans="1:37" ht="15.75" x14ac:dyDescent="0.25">
      <c r="B16" s="56">
        <v>0.70833333333333337</v>
      </c>
      <c r="C16" s="56">
        <v>0.75</v>
      </c>
      <c r="D16" s="8">
        <v>1</v>
      </c>
      <c r="E16" s="9">
        <v>1</v>
      </c>
      <c r="F16" s="42">
        <v>0.5</v>
      </c>
      <c r="G16" s="44"/>
      <c r="H16" s="15"/>
      <c r="I16" s="8">
        <v>1</v>
      </c>
      <c r="J16" s="9"/>
      <c r="K16" s="33">
        <v>0.5</v>
      </c>
      <c r="L16" s="44">
        <v>0.5</v>
      </c>
      <c r="M16" s="15"/>
      <c r="N16" s="8"/>
      <c r="O16" s="9">
        <v>1</v>
      </c>
      <c r="P16" s="33">
        <v>0.5</v>
      </c>
      <c r="Q16" s="44">
        <v>1</v>
      </c>
      <c r="R16" s="15"/>
      <c r="S16" s="8">
        <v>1</v>
      </c>
      <c r="T16" s="9"/>
      <c r="U16" s="33">
        <v>0.5</v>
      </c>
      <c r="V16" s="44"/>
      <c r="W16" s="15"/>
      <c r="X16" s="8"/>
      <c r="Y16" s="9">
        <v>1</v>
      </c>
      <c r="Z16" s="33"/>
      <c r="AA16" s="44"/>
      <c r="AB16" s="15"/>
      <c r="AC16" s="8"/>
      <c r="AD16" s="9">
        <v>1</v>
      </c>
      <c r="AE16" s="33"/>
      <c r="AF16" s="44"/>
      <c r="AG16" s="15"/>
      <c r="AH16" s="8">
        <v>1</v>
      </c>
      <c r="AI16" s="9"/>
      <c r="AJ16" s="33"/>
      <c r="AK16" s="44"/>
    </row>
    <row r="17" spans="1:37" ht="15.75" x14ac:dyDescent="0.25">
      <c r="A17" s="2"/>
      <c r="B17" s="56">
        <v>0.75</v>
      </c>
      <c r="C17" s="56">
        <v>0.79166666666666696</v>
      </c>
      <c r="D17" s="8"/>
      <c r="E17" s="9">
        <v>1</v>
      </c>
      <c r="F17" s="42">
        <v>1</v>
      </c>
      <c r="G17" s="44"/>
      <c r="H17" s="15"/>
      <c r="I17" s="8">
        <v>1</v>
      </c>
      <c r="J17" s="9"/>
      <c r="K17" s="33">
        <v>1</v>
      </c>
      <c r="L17" s="44"/>
      <c r="M17" s="15"/>
      <c r="N17" s="8"/>
      <c r="O17" s="9">
        <v>1</v>
      </c>
      <c r="P17" s="33">
        <v>1</v>
      </c>
      <c r="Q17" s="44">
        <v>1</v>
      </c>
      <c r="R17" s="15"/>
      <c r="S17" s="8">
        <v>1</v>
      </c>
      <c r="T17" s="9"/>
      <c r="U17" s="33">
        <v>1</v>
      </c>
      <c r="V17" s="44"/>
      <c r="W17" s="15"/>
      <c r="X17" s="8"/>
      <c r="Y17" s="9">
        <v>1</v>
      </c>
      <c r="Z17" s="33"/>
      <c r="AA17" s="44"/>
      <c r="AB17" s="15"/>
      <c r="AC17" s="8"/>
      <c r="AD17" s="9">
        <v>1</v>
      </c>
      <c r="AE17" s="33"/>
      <c r="AF17" s="44"/>
      <c r="AG17" s="15"/>
      <c r="AH17" s="8">
        <v>1</v>
      </c>
      <c r="AI17" s="9"/>
      <c r="AJ17" s="33">
        <v>0.5</v>
      </c>
      <c r="AK17" s="44"/>
    </row>
    <row r="18" spans="1:37" ht="15.75" x14ac:dyDescent="0.25">
      <c r="A18" s="2"/>
      <c r="B18" s="56">
        <v>0.79166666666666696</v>
      </c>
      <c r="C18" s="56">
        <v>0.83333333333333304</v>
      </c>
      <c r="D18" s="8"/>
      <c r="E18" s="9">
        <v>1</v>
      </c>
      <c r="F18" s="42">
        <v>1</v>
      </c>
      <c r="G18" s="44">
        <v>1</v>
      </c>
      <c r="H18" s="15"/>
      <c r="I18" s="8">
        <v>1</v>
      </c>
      <c r="J18" s="9"/>
      <c r="K18" s="33">
        <v>1</v>
      </c>
      <c r="L18" s="44"/>
      <c r="M18" s="15"/>
      <c r="N18" s="8"/>
      <c r="O18" s="9"/>
      <c r="P18" s="33">
        <v>1</v>
      </c>
      <c r="Q18" s="44">
        <v>1</v>
      </c>
      <c r="R18" s="15"/>
      <c r="S18" s="8">
        <v>1</v>
      </c>
      <c r="T18" s="9"/>
      <c r="U18" s="33">
        <v>1</v>
      </c>
      <c r="V18" s="44"/>
      <c r="W18" s="15"/>
      <c r="X18" s="8"/>
      <c r="Y18" s="9">
        <v>1</v>
      </c>
      <c r="Z18" s="33"/>
      <c r="AA18" s="44">
        <v>1</v>
      </c>
      <c r="AB18" s="15"/>
      <c r="AC18" s="8"/>
      <c r="AD18" s="9">
        <v>1</v>
      </c>
      <c r="AE18" s="33">
        <v>1</v>
      </c>
      <c r="AF18" s="44"/>
      <c r="AG18" s="15"/>
      <c r="AH18" s="8">
        <v>1</v>
      </c>
      <c r="AI18" s="9"/>
      <c r="AJ18" s="33">
        <v>1</v>
      </c>
      <c r="AK18" s="44">
        <v>1</v>
      </c>
    </row>
    <row r="19" spans="1:37" ht="15.75" x14ac:dyDescent="0.25">
      <c r="A19" s="2"/>
      <c r="B19" s="56">
        <v>0.83333333333333337</v>
      </c>
      <c r="C19" s="56">
        <v>0.875</v>
      </c>
      <c r="D19" s="8"/>
      <c r="E19" s="9">
        <v>1</v>
      </c>
      <c r="F19" s="42">
        <v>1</v>
      </c>
      <c r="G19" s="44">
        <v>1</v>
      </c>
      <c r="H19" s="15"/>
      <c r="I19" s="8">
        <v>1</v>
      </c>
      <c r="J19" s="9"/>
      <c r="K19" s="33">
        <v>1</v>
      </c>
      <c r="L19" s="44"/>
      <c r="M19" s="15"/>
      <c r="N19" s="8"/>
      <c r="O19" s="9"/>
      <c r="P19" s="33">
        <v>1</v>
      </c>
      <c r="Q19" s="44">
        <v>1</v>
      </c>
      <c r="R19" s="15"/>
      <c r="S19" s="8">
        <v>1</v>
      </c>
      <c r="T19" s="9"/>
      <c r="U19" s="33">
        <v>1</v>
      </c>
      <c r="V19" s="44"/>
      <c r="W19" s="15"/>
      <c r="X19" s="8"/>
      <c r="Y19" s="9">
        <v>1</v>
      </c>
      <c r="Z19" s="33"/>
      <c r="AA19" s="44">
        <v>1</v>
      </c>
      <c r="AB19" s="15"/>
      <c r="AC19" s="8"/>
      <c r="AD19" s="9">
        <v>1</v>
      </c>
      <c r="AE19" s="33">
        <v>1</v>
      </c>
      <c r="AF19" s="44"/>
      <c r="AG19" s="15"/>
      <c r="AH19" s="8"/>
      <c r="AI19" s="9"/>
      <c r="AJ19" s="33">
        <v>1</v>
      </c>
      <c r="AK19" s="44">
        <v>1</v>
      </c>
    </row>
    <row r="20" spans="1:37" ht="15.75" x14ac:dyDescent="0.25">
      <c r="A20" s="2"/>
      <c r="B20" s="56">
        <v>0.875</v>
      </c>
      <c r="C20" s="56">
        <v>0.91666666666666696</v>
      </c>
      <c r="D20" s="39"/>
      <c r="E20" s="9">
        <v>1</v>
      </c>
      <c r="F20" s="42"/>
      <c r="G20" s="44">
        <v>1</v>
      </c>
      <c r="H20" s="15"/>
      <c r="I20" s="8">
        <v>1</v>
      </c>
      <c r="J20" s="9"/>
      <c r="K20" s="33">
        <v>1</v>
      </c>
      <c r="L20" s="44"/>
      <c r="M20" s="15"/>
      <c r="N20" s="8"/>
      <c r="O20" s="9"/>
      <c r="P20" s="33">
        <v>1</v>
      </c>
      <c r="Q20" s="44">
        <v>1</v>
      </c>
      <c r="R20" s="15"/>
      <c r="S20" s="8">
        <v>1</v>
      </c>
      <c r="T20" s="9"/>
      <c r="U20" s="33">
        <v>1</v>
      </c>
      <c r="V20" s="44"/>
      <c r="W20" s="15"/>
      <c r="X20" s="8"/>
      <c r="Y20" s="9">
        <v>1</v>
      </c>
      <c r="Z20" s="33"/>
      <c r="AA20" s="44">
        <v>1</v>
      </c>
      <c r="AB20" s="15"/>
      <c r="AC20" s="8"/>
      <c r="AD20" s="9">
        <v>1</v>
      </c>
      <c r="AE20" s="33">
        <v>1</v>
      </c>
      <c r="AF20" s="44"/>
      <c r="AG20" s="15"/>
      <c r="AH20" s="8"/>
      <c r="AI20" s="9"/>
      <c r="AJ20" s="33">
        <v>1</v>
      </c>
      <c r="AK20" s="44">
        <v>1</v>
      </c>
    </row>
    <row r="21" spans="1:37" ht="15.75" x14ac:dyDescent="0.25">
      <c r="A21" s="2"/>
      <c r="B21" s="56">
        <v>0.91666666666666663</v>
      </c>
      <c r="C21" s="56">
        <v>0.95833333333333337</v>
      </c>
      <c r="D21" s="37"/>
      <c r="E21" s="38"/>
      <c r="F21" s="30"/>
      <c r="G21" s="45"/>
      <c r="H21" s="15"/>
      <c r="I21" s="37"/>
      <c r="J21" s="38"/>
      <c r="K21" s="30"/>
      <c r="L21" s="45"/>
      <c r="M21" s="15"/>
      <c r="N21" s="37"/>
      <c r="O21" s="38"/>
      <c r="P21" s="30"/>
      <c r="Q21" s="45"/>
      <c r="R21" s="15"/>
      <c r="S21" s="37"/>
      <c r="T21" s="38"/>
      <c r="U21" s="30"/>
      <c r="V21" s="45"/>
      <c r="W21" s="15"/>
      <c r="X21" s="37"/>
      <c r="Y21" s="38"/>
      <c r="Z21" s="30"/>
      <c r="AA21" s="45"/>
      <c r="AB21" s="15"/>
      <c r="AC21" s="37"/>
      <c r="AD21" s="38"/>
      <c r="AE21" s="30"/>
      <c r="AF21" s="45"/>
      <c r="AG21" s="15"/>
      <c r="AH21" s="37"/>
      <c r="AI21" s="38"/>
      <c r="AJ21" s="30"/>
      <c r="AK21" s="45"/>
    </row>
    <row r="22" spans="1:37" ht="15.75" x14ac:dyDescent="0.25">
      <c r="A22" s="2"/>
      <c r="B22" s="53"/>
      <c r="C22" s="53"/>
    </row>
    <row r="23" spans="1:37" customFormat="1" ht="15.75" x14ac:dyDescent="0.25">
      <c r="A23" s="11"/>
      <c r="B23" s="57"/>
      <c r="C23" s="57"/>
      <c r="D23" s="75"/>
      <c r="E23" s="75"/>
      <c r="F23" s="75"/>
      <c r="G23" s="43"/>
      <c r="I23" s="75"/>
      <c r="J23" s="75"/>
      <c r="K23" s="27"/>
      <c r="L23" s="35"/>
      <c r="N23" s="75"/>
      <c r="O23" s="75"/>
      <c r="P23" s="27"/>
      <c r="Q23" s="35"/>
      <c r="S23" s="75"/>
      <c r="T23" s="75"/>
      <c r="U23" s="27"/>
      <c r="V23" s="35"/>
      <c r="X23" s="75"/>
      <c r="Y23" s="75"/>
      <c r="Z23" s="27"/>
      <c r="AA23" s="35"/>
      <c r="AC23" s="75"/>
      <c r="AD23" s="75"/>
      <c r="AE23" s="27"/>
      <c r="AF23" s="35"/>
      <c r="AH23" s="75"/>
      <c r="AI23" s="75"/>
      <c r="AJ23" s="27"/>
      <c r="AK23" s="35"/>
    </row>
    <row r="24" spans="1:37" s="58" customFormat="1" ht="23.25" customHeight="1" x14ac:dyDescent="0.25">
      <c r="A24" s="60"/>
      <c r="C24" s="59" t="s">
        <v>4</v>
      </c>
      <c r="D24" s="61">
        <f>SUM(D7:D21)</f>
        <v>8</v>
      </c>
      <c r="E24" s="62">
        <f>SUM(E7:E20)</f>
        <v>9</v>
      </c>
      <c r="F24" s="63">
        <f>SUM(F7:F20)</f>
        <v>3.5</v>
      </c>
      <c r="G24" s="64">
        <f>SUM(G7:G21)</f>
        <v>3</v>
      </c>
      <c r="H24" s="65"/>
      <c r="I24" s="61">
        <f>SUM(I7:I20)</f>
        <v>10</v>
      </c>
      <c r="J24" s="62">
        <f>SUM(J7:J20)</f>
        <v>0</v>
      </c>
      <c r="K24" s="66">
        <f>SUM(K7:K20)</f>
        <v>4.5</v>
      </c>
      <c r="L24" s="64">
        <f>SUM(L7:L21)</f>
        <v>7.5</v>
      </c>
      <c r="M24" s="65"/>
      <c r="N24" s="61">
        <f>SUM(N7:N20)</f>
        <v>0</v>
      </c>
      <c r="O24" s="62">
        <f>SUM(O7:O20)</f>
        <v>9</v>
      </c>
      <c r="P24" s="66">
        <f>SUM(P7:P20)</f>
        <v>4.5</v>
      </c>
      <c r="Q24" s="64">
        <f>SUM(Q7:Q21)</f>
        <v>7</v>
      </c>
      <c r="R24" s="65"/>
      <c r="S24" s="61">
        <f>SUM(S7:S20)</f>
        <v>8</v>
      </c>
      <c r="T24" s="62">
        <f>SUM(T7:T20)</f>
        <v>7</v>
      </c>
      <c r="U24" s="66">
        <f>SUM(U7:U20)</f>
        <v>4.5</v>
      </c>
      <c r="V24" s="64">
        <f>SUM(V7:V21)</f>
        <v>0</v>
      </c>
      <c r="W24" s="65"/>
      <c r="X24" s="61">
        <f>SUM(X7:X21)</f>
        <v>7</v>
      </c>
      <c r="Y24" s="62">
        <f>SUM(Y7:Y21)</f>
        <v>9</v>
      </c>
      <c r="Z24" s="66">
        <f>SUM(Z7:Z21)</f>
        <v>0</v>
      </c>
      <c r="AA24" s="64">
        <f>SUM(AA7:AA21)</f>
        <v>3</v>
      </c>
      <c r="AB24" s="65"/>
      <c r="AC24" s="61">
        <f>SUM(AC7:AC21)</f>
        <v>7</v>
      </c>
      <c r="AD24" s="62">
        <f>SUM(AD7:AD21)</f>
        <v>7</v>
      </c>
      <c r="AE24" s="66">
        <f>SUM(AE7:AE21)</f>
        <v>3</v>
      </c>
      <c r="AF24" s="64">
        <f>SUM(AF7:AF20)</f>
        <v>0</v>
      </c>
      <c r="AG24" s="65"/>
      <c r="AH24" s="61">
        <f>SUM(AH7:AH21)</f>
        <v>8</v>
      </c>
      <c r="AI24" s="62">
        <f>SUM(AI7:AI21)</f>
        <v>7</v>
      </c>
      <c r="AJ24" s="66">
        <f>SUM(AJ7:AJ21)</f>
        <v>3.5</v>
      </c>
      <c r="AK24" s="64">
        <f>SUM(AK7:AK21)</f>
        <v>3</v>
      </c>
    </row>
    <row r="25" spans="1:37" ht="31.5" customHeight="1" x14ac:dyDescent="0.25">
      <c r="A25" s="2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10"/>
      <c r="AJ25" s="10"/>
      <c r="AK25" s="10"/>
    </row>
    <row r="26" spans="1:37" x14ac:dyDescent="0.25">
      <c r="A26" s="2"/>
      <c r="B26" s="24" t="s">
        <v>3</v>
      </c>
      <c r="C26" s="24"/>
      <c r="D26" s="76" t="s">
        <v>10</v>
      </c>
      <c r="E26" s="76"/>
      <c r="F26" s="25"/>
      <c r="G26" s="28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</row>
    <row r="27" spans="1:37" s="22" customFormat="1" ht="18.75" x14ac:dyDescent="0.3">
      <c r="A27" s="18"/>
      <c r="B27" s="47" t="s">
        <v>8</v>
      </c>
      <c r="C27" s="47"/>
      <c r="D27" s="74" t="s">
        <v>14</v>
      </c>
      <c r="E27" s="74"/>
      <c r="F27" s="19">
        <f>D24+I24+N24+S24+X24+AC24+AH24</f>
        <v>48</v>
      </c>
      <c r="G27" s="29"/>
      <c r="H27" s="23" t="s">
        <v>11</v>
      </c>
      <c r="J27" s="20"/>
      <c r="K27" s="40"/>
      <c r="L27" s="40"/>
      <c r="M27" s="67"/>
      <c r="N27" s="68"/>
      <c r="O27" s="68"/>
      <c r="P27" s="69"/>
      <c r="Q27" s="69"/>
      <c r="R27" s="70"/>
      <c r="S27" s="68"/>
      <c r="T27" s="68"/>
      <c r="U27" s="68"/>
      <c r="V27" s="68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</row>
    <row r="28" spans="1:37" s="22" customFormat="1" ht="18.75" x14ac:dyDescent="0.3">
      <c r="A28" s="18"/>
      <c r="B28" s="48" t="s">
        <v>9</v>
      </c>
      <c r="C28" s="48"/>
      <c r="D28" s="74" t="s">
        <v>17</v>
      </c>
      <c r="E28" s="74"/>
      <c r="F28" s="19">
        <f>E24+J24+O24+T24+Y24+AD24+AI24</f>
        <v>48</v>
      </c>
      <c r="G28" s="29"/>
      <c r="H28" s="23" t="s">
        <v>11</v>
      </c>
      <c r="J28" s="20"/>
      <c r="M28" s="71"/>
      <c r="N28" s="70"/>
      <c r="O28" s="70"/>
      <c r="P28" s="69"/>
      <c r="Q28" s="69"/>
      <c r="R28" s="69"/>
      <c r="S28" s="68"/>
      <c r="T28" s="68"/>
      <c r="U28" s="68"/>
      <c r="V28" s="68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</row>
    <row r="29" spans="1:37" s="22" customFormat="1" ht="18.75" x14ac:dyDescent="0.3">
      <c r="B29" s="49" t="s">
        <v>16</v>
      </c>
      <c r="C29" s="49"/>
      <c r="D29" s="74" t="s">
        <v>20</v>
      </c>
      <c r="E29" s="74"/>
      <c r="F29" s="19">
        <f>F24+K24+P24+U24+Z24+AE24+AJ24</f>
        <v>23.5</v>
      </c>
      <c r="G29" s="29"/>
      <c r="H29" s="23" t="s">
        <v>11</v>
      </c>
      <c r="J29" s="20"/>
      <c r="K29" s="40"/>
      <c r="L29" s="40"/>
      <c r="M29" s="68"/>
      <c r="N29" s="68"/>
      <c r="O29" s="68"/>
      <c r="P29" s="70"/>
      <c r="Q29" s="70"/>
      <c r="R29" s="70"/>
      <c r="S29" s="68"/>
      <c r="T29" s="68"/>
      <c r="U29" s="68"/>
      <c r="V29" s="68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</row>
    <row r="30" spans="1:37" ht="18.75" x14ac:dyDescent="0.3">
      <c r="B30" s="50" t="s">
        <v>19</v>
      </c>
      <c r="C30" s="50"/>
      <c r="D30" s="74" t="s">
        <v>15</v>
      </c>
      <c r="E30" s="74"/>
      <c r="F30" s="19">
        <f>G24+L24+Q24+V24+AA24+AF24+AK24</f>
        <v>23.5</v>
      </c>
      <c r="G30" s="29"/>
      <c r="H30" s="23" t="s">
        <v>11</v>
      </c>
      <c r="M30" s="72"/>
      <c r="N30" s="72"/>
      <c r="O30" s="72"/>
      <c r="P30" s="72"/>
      <c r="Q30" s="72"/>
      <c r="R30" s="72"/>
      <c r="S30" s="72"/>
      <c r="T30" s="72"/>
      <c r="U30" s="72"/>
      <c r="V30" s="72"/>
    </row>
    <row r="34" spans="14:14" x14ac:dyDescent="0.25">
      <c r="N34" s="4" t="s">
        <v>21</v>
      </c>
    </row>
  </sheetData>
  <sheetProtection selectLockedCells="1"/>
  <mergeCells count="12">
    <mergeCell ref="D30:E30"/>
    <mergeCell ref="D29:E29"/>
    <mergeCell ref="AC23:AD23"/>
    <mergeCell ref="AH23:AI23"/>
    <mergeCell ref="D23:F23"/>
    <mergeCell ref="I23:J23"/>
    <mergeCell ref="N23:O23"/>
    <mergeCell ref="S23:T23"/>
    <mergeCell ref="X23:Y23"/>
    <mergeCell ref="D26:E26"/>
    <mergeCell ref="D27:E27"/>
    <mergeCell ref="D28:E28"/>
  </mergeCells>
  <phoneticPr fontId="13" type="noConversion"/>
  <conditionalFormatting sqref="X7:Y21 N7:O21 S7:T21 I7:J21 AH7:AI21 AC7:AD21 D7:G21 Z9:Z11">
    <cfRule type="expression" dxfId="65" priority="105">
      <formula>IF(OR(D7=0,D7=""),TRUE(),FALSE())</formula>
    </cfRule>
  </conditionalFormatting>
  <conditionalFormatting sqref="AE9:AE11">
    <cfRule type="expression" dxfId="64" priority="34">
      <formula>IF(OR(AE9=0,AE9=""),TRUE(),FALSE())</formula>
    </cfRule>
  </conditionalFormatting>
  <conditionalFormatting sqref="AJ9:AJ11">
    <cfRule type="expression" dxfId="63" priority="33">
      <formula>IF(OR(AJ9=0,AJ9=""),TRUE(),FALSE())</formula>
    </cfRule>
  </conditionalFormatting>
  <conditionalFormatting sqref="K7:K11">
    <cfRule type="expression" dxfId="62" priority="23">
      <formula>IF(OR(K7=0,K7=""),TRUE(),FALSE())</formula>
    </cfRule>
  </conditionalFormatting>
  <conditionalFormatting sqref="P9:P21">
    <cfRule type="expression" dxfId="61" priority="22">
      <formula>IF(OR(P9=0,P9=""),TRUE(),FALSE())</formula>
    </cfRule>
  </conditionalFormatting>
  <conditionalFormatting sqref="U9:U11">
    <cfRule type="expression" dxfId="60" priority="21">
      <formula>IF(OR(U9=0,U9=""),TRUE(),FALSE())</formula>
    </cfRule>
  </conditionalFormatting>
  <conditionalFormatting sqref="K12:K21">
    <cfRule type="expression" dxfId="59" priority="17">
      <formula>IF(OR(K12=0,K12=""),TRUE(),FALSE())</formula>
    </cfRule>
  </conditionalFormatting>
  <conditionalFormatting sqref="U12:U21">
    <cfRule type="expression" dxfId="58" priority="16">
      <formula>IF(OR(U12=0,U12=""),TRUE(),FALSE())</formula>
    </cfRule>
  </conditionalFormatting>
  <conditionalFormatting sqref="Z12:Z21">
    <cfRule type="expression" dxfId="57" priority="15">
      <formula>IF(OR(Z12=0,Z12=""),TRUE(),FALSE())</formula>
    </cfRule>
  </conditionalFormatting>
  <conditionalFormatting sqref="AE12:AE21">
    <cfRule type="expression" dxfId="56" priority="14">
      <formula>IF(OR(AE12=0,AE12=""),TRUE(),FALSE())</formula>
    </cfRule>
  </conditionalFormatting>
  <conditionalFormatting sqref="AJ12:AJ21">
    <cfRule type="expression" dxfId="55" priority="13">
      <formula>IF(OR(AJ12=0,AJ12=""),TRUE(),FALSE())</formula>
    </cfRule>
  </conditionalFormatting>
  <conditionalFormatting sqref="P7:P8">
    <cfRule type="expression" dxfId="54" priority="12">
      <formula>IF(OR(P7=0,P7=""),TRUE(),FALSE())</formula>
    </cfRule>
  </conditionalFormatting>
  <conditionalFormatting sqref="U7:U8">
    <cfRule type="expression" dxfId="53" priority="11">
      <formula>IF(OR(U7=0,U7=""),TRUE(),FALSE())</formula>
    </cfRule>
  </conditionalFormatting>
  <conditionalFormatting sqref="Z7:Z8">
    <cfRule type="expression" dxfId="52" priority="10">
      <formula>IF(OR(Z7=0,Z7=""),TRUE(),FALSE())</formula>
    </cfRule>
  </conditionalFormatting>
  <conditionalFormatting sqref="AE7:AE8">
    <cfRule type="expression" dxfId="51" priority="9">
      <formula>IF(OR(AE7=0,AE7=""),TRUE(),FALSE())</formula>
    </cfRule>
  </conditionalFormatting>
  <conditionalFormatting sqref="AJ7:AJ8">
    <cfRule type="expression" dxfId="50" priority="8">
      <formula>IF(OR(AJ7=0,AJ7=""),TRUE(),FALSE())</formula>
    </cfRule>
  </conditionalFormatting>
  <conditionalFormatting sqref="L7:L21">
    <cfRule type="expression" dxfId="49" priority="6">
      <formula>IF(OR(L7=0,L7=""),TRUE(),FALSE())</formula>
    </cfRule>
  </conditionalFormatting>
  <conditionalFormatting sqref="V7:V21">
    <cfRule type="expression" dxfId="48" priority="5">
      <formula>IF(OR(V7=0,V7=""),TRUE(),FALSE())</formula>
    </cfRule>
  </conditionalFormatting>
  <conditionalFormatting sqref="AA7:AA21">
    <cfRule type="expression" dxfId="47" priority="4">
      <formula>IF(OR(AA7=0,AA7=""),TRUE(),FALSE())</formula>
    </cfRule>
  </conditionalFormatting>
  <conditionalFormatting sqref="AF7:AF21">
    <cfRule type="expression" dxfId="46" priority="3">
      <formula>IF(OR(AF7=0,AF7=""),TRUE(),FALSE())</formula>
    </cfRule>
  </conditionalFormatting>
  <conditionalFormatting sqref="AK7:AK21">
    <cfRule type="expression" dxfId="45" priority="2">
      <formula>IF(OR(AK7=0,AK7=""),TRUE(),FALSE())</formula>
    </cfRule>
  </conditionalFormatting>
  <conditionalFormatting sqref="Q7:Q21">
    <cfRule type="expression" dxfId="44" priority="1">
      <formula>IF(OR(Q7=0,Q7=""),TRUE(),FALSE())</formula>
    </cfRule>
  </conditionalFormatting>
  <dataValidations count="1">
    <dataValidation type="list" allowBlank="1" showInputMessage="1" showErrorMessage="1" sqref="Z9:AA21 N7:O21 AH7:AI21 I7:J21 K12:L21 AJ12:AK21 U9:V21 AE12:AF21 S7:T21 X7:Y21 AC7:AD21 D7:G21" xr:uid="{BFAFC90B-21C8-44D8-AE56-23F3042131AB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38655-5CD5-4994-81EF-9F2AE7BD762D}">
  <sheetPr codeName="Hoja2"/>
  <dimension ref="A1:AK34"/>
  <sheetViews>
    <sheetView showGridLines="0" tabSelected="1" zoomScale="50" zoomScaleNormal="50" workbookViewId="0">
      <pane xSplit="3" ySplit="6" topLeftCell="D7" activePane="bottomRight" state="frozen"/>
      <selection pane="topRight" activeCell="D1" sqref="D1"/>
      <selection pane="bottomLeft" activeCell="A8" sqref="A8"/>
      <selection pane="bottomRight" activeCell="AJ17" sqref="AJ17"/>
    </sheetView>
  </sheetViews>
  <sheetFormatPr baseColWidth="10" defaultRowHeight="15" x14ac:dyDescent="0.25"/>
  <cols>
    <col min="1" max="1" width="1.5703125" style="4" customWidth="1"/>
    <col min="2" max="2" width="15.5703125" style="4" customWidth="1"/>
    <col min="3" max="3" width="19" style="4" customWidth="1"/>
    <col min="4" max="5" width="7.7109375" style="4" customWidth="1"/>
    <col min="6" max="6" width="11.140625" style="4" customWidth="1"/>
    <col min="7" max="7" width="8.140625" style="4" customWidth="1"/>
    <col min="8" max="8" width="10.5703125" style="4" customWidth="1"/>
    <col min="9" max="37" width="7.7109375" style="4" customWidth="1"/>
    <col min="38" max="38" width="5.140625" style="4" customWidth="1"/>
    <col min="39" max="16384" width="11.42578125" style="4"/>
  </cols>
  <sheetData>
    <row r="1" spans="1:37" ht="17.25" customHeight="1" x14ac:dyDescent="0.3">
      <c r="A1" s="1" t="s">
        <v>0</v>
      </c>
      <c r="B1" s="51"/>
      <c r="C1" s="51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</row>
    <row r="2" spans="1:37" ht="22.5" customHeight="1" x14ac:dyDescent="0.25">
      <c r="A2" s="17" t="s">
        <v>1</v>
      </c>
      <c r="B2" s="52"/>
      <c r="C2" s="52"/>
      <c r="D2" s="14" t="str">
        <f>UPPER(CONCATENATE("HORARIO ",TEXT(DAY(C5),"00")," DE ",TEXT(C5,"mmmm")," AL ",TEXT(DAY(C5+6),"00")," DE ",TEXT(C5+6,"mmmm")))</f>
        <v>HORARIO 07 DE SETIEMBRE AL 13 DE SETIEMBRE</v>
      </c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</row>
    <row r="3" spans="1:37" ht="15.75" x14ac:dyDescent="0.25">
      <c r="A3" s="5"/>
      <c r="B3" s="53"/>
      <c r="C3" s="53"/>
    </row>
    <row r="4" spans="1:37" ht="15.75" x14ac:dyDescent="0.25">
      <c r="B4" s="53"/>
      <c r="C4" s="53"/>
    </row>
    <row r="5" spans="1:37" ht="36.75" customHeight="1" x14ac:dyDescent="0.4">
      <c r="B5" s="54" t="s">
        <v>5</v>
      </c>
      <c r="C5" s="55">
        <v>46272</v>
      </c>
      <c r="D5" s="34" t="str">
        <f>CONCATENATE("Lunes ",TEXT(DAY(C5),"00"))</f>
        <v>Lunes 07</v>
      </c>
      <c r="E5" s="34"/>
      <c r="F5" s="34"/>
      <c r="G5" s="34"/>
      <c r="H5" s="12"/>
      <c r="I5" s="34" t="str">
        <f>CONCATENATE("Martes ",TEXT(DAY(C5+1),"00"))</f>
        <v>Martes 08</v>
      </c>
      <c r="J5" s="34"/>
      <c r="K5" s="34"/>
      <c r="L5" s="26"/>
      <c r="M5" s="12"/>
      <c r="N5" s="13" t="str">
        <f>CONCATENATE("Miercoles ",TEXT(DAY(C5+2),"00"))</f>
        <v>Miercoles 09</v>
      </c>
      <c r="O5" s="13"/>
      <c r="P5" s="26"/>
      <c r="Q5" s="26"/>
      <c r="R5" s="12"/>
      <c r="S5" s="13" t="str">
        <f>CONCATENATE("Jueves ",TEXT(DAY(C5+3),"00"))</f>
        <v>Jueves 10</v>
      </c>
      <c r="T5" s="13"/>
      <c r="U5" s="26"/>
      <c r="V5" s="26"/>
      <c r="W5" s="12"/>
      <c r="X5" s="13" t="str">
        <f>CONCATENATE("Viernes ",TEXT(DAY(C5+4),"00"))</f>
        <v>Viernes 11</v>
      </c>
      <c r="Y5" s="13"/>
      <c r="Z5" s="26"/>
      <c r="AA5" s="26"/>
      <c r="AB5" s="12"/>
      <c r="AC5" s="13" t="str">
        <f>CONCATENATE("Sábado ",TEXT(DAY(C5+5),"00"))</f>
        <v>Sábado 12</v>
      </c>
      <c r="AD5" s="13"/>
      <c r="AE5" s="26"/>
      <c r="AF5" s="26"/>
      <c r="AG5" s="12"/>
      <c r="AH5" s="13" t="str">
        <f>CONCATENATE("Domingo ",TEXT(DAY(C5+6),"00"))</f>
        <v>Domingo 13</v>
      </c>
      <c r="AI5" s="13"/>
      <c r="AJ5" s="26"/>
      <c r="AK5" s="26"/>
    </row>
    <row r="6" spans="1:37" ht="81.75" customHeight="1" x14ac:dyDescent="0.25">
      <c r="B6" s="53"/>
      <c r="C6" s="53"/>
      <c r="D6" s="6" t="s">
        <v>6</v>
      </c>
      <c r="E6" s="7" t="s">
        <v>7</v>
      </c>
      <c r="F6" s="32" t="s">
        <v>13</v>
      </c>
      <c r="G6" s="46" t="s">
        <v>18</v>
      </c>
      <c r="I6" s="6" t="s">
        <v>6</v>
      </c>
      <c r="J6" s="7" t="s">
        <v>7</v>
      </c>
      <c r="K6" s="32" t="s">
        <v>13</v>
      </c>
      <c r="L6" s="46" t="s">
        <v>18</v>
      </c>
      <c r="N6" s="6" t="s">
        <v>6</v>
      </c>
      <c r="O6" s="7" t="s">
        <v>7</v>
      </c>
      <c r="P6" s="32" t="s">
        <v>13</v>
      </c>
      <c r="Q6" s="46" t="s">
        <v>18</v>
      </c>
      <c r="S6" s="6" t="s">
        <v>6</v>
      </c>
      <c r="T6" s="7" t="s">
        <v>7</v>
      </c>
      <c r="U6" s="32" t="s">
        <v>13</v>
      </c>
      <c r="V6" s="46" t="s">
        <v>18</v>
      </c>
      <c r="X6" s="6" t="s">
        <v>6</v>
      </c>
      <c r="Y6" s="7" t="s">
        <v>7</v>
      </c>
      <c r="Z6" s="32" t="s">
        <v>13</v>
      </c>
      <c r="AA6" s="46" t="s">
        <v>18</v>
      </c>
      <c r="AC6" s="6" t="s">
        <v>6</v>
      </c>
      <c r="AD6" s="7" t="s">
        <v>7</v>
      </c>
      <c r="AE6" s="32" t="s">
        <v>12</v>
      </c>
      <c r="AF6" s="46" t="s">
        <v>18</v>
      </c>
      <c r="AH6" s="6" t="s">
        <v>6</v>
      </c>
      <c r="AI6" s="7" t="s">
        <v>7</v>
      </c>
      <c r="AJ6" s="32" t="s">
        <v>12</v>
      </c>
      <c r="AK6" s="46" t="s">
        <v>18</v>
      </c>
    </row>
    <row r="7" spans="1:37" ht="15.75" x14ac:dyDescent="0.25">
      <c r="B7" s="56">
        <v>0.33333333333333298</v>
      </c>
      <c r="C7" s="56">
        <v>0.375</v>
      </c>
      <c r="D7" s="8"/>
      <c r="E7" s="9"/>
      <c r="F7" s="42"/>
      <c r="G7" s="44"/>
      <c r="H7" s="15"/>
      <c r="I7" s="8"/>
      <c r="J7" s="9"/>
      <c r="K7" s="33"/>
      <c r="L7" s="44"/>
      <c r="M7" s="15"/>
      <c r="N7" s="8"/>
      <c r="O7" s="9"/>
      <c r="P7" s="33"/>
      <c r="Q7" s="44"/>
      <c r="R7" s="15"/>
      <c r="S7" s="8"/>
      <c r="T7" s="9"/>
      <c r="U7" s="33"/>
      <c r="V7" s="44"/>
      <c r="W7" s="15"/>
      <c r="X7" s="8">
        <v>1</v>
      </c>
      <c r="Y7" s="9"/>
      <c r="Z7" s="33"/>
      <c r="AA7" s="44"/>
      <c r="AB7" s="15"/>
      <c r="AC7" s="8">
        <v>1</v>
      </c>
      <c r="AD7" s="9"/>
      <c r="AE7" s="33"/>
      <c r="AF7" s="44"/>
      <c r="AG7" s="15"/>
      <c r="AH7" s="8"/>
      <c r="AI7" s="9"/>
      <c r="AJ7" s="33"/>
      <c r="AK7" s="44"/>
    </row>
    <row r="8" spans="1:37" ht="15.75" x14ac:dyDescent="0.25">
      <c r="B8" s="56">
        <v>0.375</v>
      </c>
      <c r="C8" s="56">
        <v>0.41666666666666702</v>
      </c>
      <c r="D8" s="8">
        <v>1</v>
      </c>
      <c r="E8" s="9"/>
      <c r="F8" s="42"/>
      <c r="G8" s="44"/>
      <c r="H8" s="15"/>
      <c r="I8" s="8"/>
      <c r="J8" s="9"/>
      <c r="K8" s="33"/>
      <c r="L8" s="44">
        <v>1</v>
      </c>
      <c r="M8" s="15"/>
      <c r="N8" s="8"/>
      <c r="O8" s="9">
        <v>1</v>
      </c>
      <c r="P8" s="33"/>
      <c r="Q8" s="44"/>
      <c r="R8" s="15"/>
      <c r="S8" s="8"/>
      <c r="T8" s="9"/>
      <c r="U8" s="33"/>
      <c r="V8" s="44">
        <v>1</v>
      </c>
      <c r="W8" s="15"/>
      <c r="X8" s="8">
        <v>0.5</v>
      </c>
      <c r="Y8" s="9">
        <v>1</v>
      </c>
      <c r="Z8" s="33"/>
      <c r="AA8" s="44"/>
      <c r="AB8" s="15"/>
      <c r="AC8" s="8">
        <v>0.5</v>
      </c>
      <c r="AD8" s="9"/>
      <c r="AE8" s="33">
        <v>1</v>
      </c>
      <c r="AF8" s="44"/>
      <c r="AG8" s="15"/>
      <c r="AH8" s="8"/>
      <c r="AI8" s="9">
        <v>1</v>
      </c>
      <c r="AJ8" s="33"/>
      <c r="AK8" s="44"/>
    </row>
    <row r="9" spans="1:37" ht="15.75" x14ac:dyDescent="0.25">
      <c r="A9" s="2"/>
      <c r="B9" s="56">
        <v>0.41666666666666669</v>
      </c>
      <c r="C9" s="56">
        <v>0.45833333333333331</v>
      </c>
      <c r="D9" s="8">
        <v>1</v>
      </c>
      <c r="E9" s="9"/>
      <c r="F9" s="42"/>
      <c r="G9" s="44"/>
      <c r="H9" s="15"/>
      <c r="I9" s="8"/>
      <c r="J9" s="9"/>
      <c r="K9" s="33"/>
      <c r="L9" s="44">
        <v>1</v>
      </c>
      <c r="M9" s="15"/>
      <c r="N9" s="8"/>
      <c r="O9" s="9">
        <v>1</v>
      </c>
      <c r="P9" s="33"/>
      <c r="Q9" s="44"/>
      <c r="R9" s="15"/>
      <c r="S9" s="8"/>
      <c r="T9" s="9"/>
      <c r="U9" s="30"/>
      <c r="V9" s="44">
        <v>1</v>
      </c>
      <c r="W9" s="15"/>
      <c r="X9" s="8"/>
      <c r="Y9" s="9">
        <v>1</v>
      </c>
      <c r="Z9" s="36"/>
      <c r="AA9" s="44"/>
      <c r="AB9" s="15"/>
      <c r="AC9" s="8"/>
      <c r="AD9" s="9"/>
      <c r="AE9" s="36">
        <v>1</v>
      </c>
      <c r="AF9" s="44"/>
      <c r="AG9" s="15"/>
      <c r="AH9" s="8"/>
      <c r="AI9" s="9">
        <v>1</v>
      </c>
      <c r="AJ9" s="36"/>
      <c r="AK9" s="44"/>
    </row>
    <row r="10" spans="1:37" ht="15" customHeight="1" x14ac:dyDescent="0.25">
      <c r="A10" s="2"/>
      <c r="B10" s="56">
        <v>0.45833333333333331</v>
      </c>
      <c r="C10" s="56">
        <v>0.5</v>
      </c>
      <c r="D10" s="8">
        <v>1</v>
      </c>
      <c r="E10" s="9"/>
      <c r="F10" s="42"/>
      <c r="G10" s="44"/>
      <c r="H10" s="15"/>
      <c r="I10" s="8"/>
      <c r="J10" s="9"/>
      <c r="K10" s="33"/>
      <c r="L10" s="44">
        <v>1</v>
      </c>
      <c r="M10" s="15"/>
      <c r="N10" s="8"/>
      <c r="O10" s="9">
        <v>1</v>
      </c>
      <c r="P10" s="33"/>
      <c r="Q10" s="44"/>
      <c r="R10" s="15"/>
      <c r="S10" s="8"/>
      <c r="T10" s="9"/>
      <c r="U10" s="30"/>
      <c r="V10" s="44">
        <v>1</v>
      </c>
      <c r="W10" s="15"/>
      <c r="X10" s="8"/>
      <c r="Y10" s="9">
        <v>1</v>
      </c>
      <c r="Z10" s="36"/>
      <c r="AA10" s="44"/>
      <c r="AB10" s="15"/>
      <c r="AC10" s="8"/>
      <c r="AD10" s="9"/>
      <c r="AE10" s="36">
        <v>1</v>
      </c>
      <c r="AF10" s="44"/>
      <c r="AG10" s="15"/>
      <c r="AH10" s="8"/>
      <c r="AI10" s="9">
        <v>1</v>
      </c>
      <c r="AJ10" s="36"/>
      <c r="AK10" s="44"/>
    </row>
    <row r="11" spans="1:37" ht="15.75" x14ac:dyDescent="0.25">
      <c r="A11" s="2"/>
      <c r="B11" s="56">
        <v>0.5</v>
      </c>
      <c r="C11" s="56">
        <v>0.54166666666666663</v>
      </c>
      <c r="D11" s="8">
        <v>1</v>
      </c>
      <c r="E11" s="9">
        <v>1</v>
      </c>
      <c r="F11" s="42"/>
      <c r="G11" s="44"/>
      <c r="H11" s="15"/>
      <c r="I11" s="8"/>
      <c r="J11" s="9"/>
      <c r="K11" s="33"/>
      <c r="L11" s="44">
        <v>1</v>
      </c>
      <c r="M11" s="15"/>
      <c r="N11" s="8"/>
      <c r="O11" s="9">
        <v>1</v>
      </c>
      <c r="P11" s="33"/>
      <c r="Q11" s="44"/>
      <c r="R11" s="15"/>
      <c r="S11" s="8">
        <v>1</v>
      </c>
      <c r="T11" s="9"/>
      <c r="U11" s="30"/>
      <c r="V11" s="44">
        <v>0.5</v>
      </c>
      <c r="W11" s="15"/>
      <c r="X11" s="8">
        <v>1</v>
      </c>
      <c r="Y11" s="9">
        <v>1</v>
      </c>
      <c r="Z11" s="36"/>
      <c r="AA11" s="44"/>
      <c r="AB11" s="15"/>
      <c r="AC11" s="8"/>
      <c r="AD11" s="9"/>
      <c r="AE11" s="36">
        <v>1</v>
      </c>
      <c r="AF11" s="44"/>
      <c r="AG11" s="15"/>
      <c r="AH11" s="8"/>
      <c r="AI11" s="9">
        <v>1</v>
      </c>
      <c r="AJ11" s="36"/>
      <c r="AK11" s="44"/>
    </row>
    <row r="12" spans="1:37" ht="15" customHeight="1" x14ac:dyDescent="0.25">
      <c r="A12" s="2"/>
      <c r="B12" s="56">
        <v>0.54166666666666663</v>
      </c>
      <c r="C12" s="56">
        <v>0.58333333333333304</v>
      </c>
      <c r="D12" s="8">
        <v>1</v>
      </c>
      <c r="E12" s="9">
        <v>1</v>
      </c>
      <c r="F12" s="42"/>
      <c r="G12" s="44"/>
      <c r="H12" s="16"/>
      <c r="I12" s="8">
        <v>1</v>
      </c>
      <c r="J12" s="9"/>
      <c r="K12" s="33"/>
      <c r="L12" s="44"/>
      <c r="M12" s="16"/>
      <c r="N12" s="8"/>
      <c r="O12" s="9">
        <v>1</v>
      </c>
      <c r="P12" s="33"/>
      <c r="Q12" s="44"/>
      <c r="R12" s="16"/>
      <c r="S12" s="8">
        <v>1</v>
      </c>
      <c r="T12" s="9"/>
      <c r="U12" s="33"/>
      <c r="V12" s="44"/>
      <c r="W12" s="16"/>
      <c r="X12" s="8">
        <v>1</v>
      </c>
      <c r="Y12" s="9"/>
      <c r="Z12" s="33"/>
      <c r="AA12" s="44"/>
      <c r="AB12" s="16"/>
      <c r="AC12" s="8"/>
      <c r="AD12" s="9">
        <v>1</v>
      </c>
      <c r="AE12" s="33"/>
      <c r="AF12" s="44"/>
      <c r="AG12" s="16"/>
      <c r="AH12" s="8"/>
      <c r="AI12" s="9">
        <v>1</v>
      </c>
      <c r="AJ12" s="33"/>
      <c r="AK12" s="44"/>
    </row>
    <row r="13" spans="1:37" ht="15" customHeight="1" x14ac:dyDescent="0.25">
      <c r="A13" s="2" t="s">
        <v>2</v>
      </c>
      <c r="B13" s="56">
        <v>0.58333333333333304</v>
      </c>
      <c r="C13" s="56">
        <v>0.625</v>
      </c>
      <c r="D13" s="8"/>
      <c r="E13" s="9">
        <v>1</v>
      </c>
      <c r="F13" s="42"/>
      <c r="G13" s="44"/>
      <c r="H13" s="15"/>
      <c r="I13" s="8"/>
      <c r="J13" s="9"/>
      <c r="K13" s="33"/>
      <c r="L13" s="44">
        <v>1</v>
      </c>
      <c r="M13" s="15"/>
      <c r="N13" s="8"/>
      <c r="O13" s="9"/>
      <c r="P13" s="33"/>
      <c r="Q13" s="44">
        <v>0.5</v>
      </c>
      <c r="R13" s="15"/>
      <c r="S13" s="8"/>
      <c r="T13" s="9">
        <v>1</v>
      </c>
      <c r="U13" s="33"/>
      <c r="V13" s="44"/>
      <c r="W13" s="15"/>
      <c r="X13" s="8"/>
      <c r="Y13" s="9">
        <v>1</v>
      </c>
      <c r="Z13" s="33"/>
      <c r="AA13" s="44"/>
      <c r="AB13" s="15"/>
      <c r="AC13" s="8">
        <v>1</v>
      </c>
      <c r="AD13" s="9"/>
      <c r="AE13" s="33"/>
      <c r="AF13" s="44"/>
      <c r="AG13" s="15"/>
      <c r="AH13" s="8">
        <v>1</v>
      </c>
      <c r="AI13" s="9"/>
      <c r="AJ13" s="33"/>
      <c r="AK13" s="44"/>
    </row>
    <row r="14" spans="1:37" ht="15" customHeight="1" x14ac:dyDescent="0.25">
      <c r="A14" s="2"/>
      <c r="B14" s="56">
        <v>0.625</v>
      </c>
      <c r="C14" s="56">
        <v>0.66666666666666696</v>
      </c>
      <c r="D14" s="8">
        <v>1</v>
      </c>
      <c r="E14" s="9"/>
      <c r="F14" s="42"/>
      <c r="G14" s="44"/>
      <c r="H14" s="15"/>
      <c r="I14" s="8">
        <v>1</v>
      </c>
      <c r="J14" s="9"/>
      <c r="K14" s="33"/>
      <c r="L14" s="44">
        <v>1</v>
      </c>
      <c r="M14" s="15"/>
      <c r="N14" s="8"/>
      <c r="O14" s="9">
        <v>1</v>
      </c>
      <c r="P14" s="33"/>
      <c r="Q14" s="44"/>
      <c r="R14" s="15"/>
      <c r="S14" s="8">
        <v>1</v>
      </c>
      <c r="T14" s="9"/>
      <c r="U14" s="33"/>
      <c r="V14" s="44"/>
      <c r="W14" s="15"/>
      <c r="X14" s="8">
        <v>1</v>
      </c>
      <c r="Y14" s="9">
        <v>1</v>
      </c>
      <c r="Z14" s="33"/>
      <c r="AA14" s="44"/>
      <c r="AB14" s="15"/>
      <c r="AC14" s="8"/>
      <c r="AD14" s="9">
        <v>1</v>
      </c>
      <c r="AE14" s="33"/>
      <c r="AF14" s="44"/>
      <c r="AG14" s="15"/>
      <c r="AH14" s="8"/>
      <c r="AI14" s="9">
        <v>1</v>
      </c>
      <c r="AJ14" s="33"/>
      <c r="AK14" s="44"/>
    </row>
    <row r="15" spans="1:37" ht="15.75" x14ac:dyDescent="0.25">
      <c r="A15" s="2"/>
      <c r="B15" s="56">
        <v>0.66666666666666696</v>
      </c>
      <c r="C15" s="56">
        <v>0.70833333333333304</v>
      </c>
      <c r="D15" s="8">
        <v>1</v>
      </c>
      <c r="E15" s="9">
        <v>1</v>
      </c>
      <c r="F15" s="42"/>
      <c r="G15" s="44"/>
      <c r="H15" s="15"/>
      <c r="I15" s="8">
        <v>1</v>
      </c>
      <c r="J15" s="9"/>
      <c r="K15" s="33"/>
      <c r="L15" s="44">
        <v>0.5</v>
      </c>
      <c r="M15" s="15"/>
      <c r="N15" s="8"/>
      <c r="O15" s="9">
        <v>1</v>
      </c>
      <c r="P15" s="33"/>
      <c r="Q15" s="44">
        <v>1</v>
      </c>
      <c r="R15" s="15"/>
      <c r="S15" s="8">
        <v>1</v>
      </c>
      <c r="T15" s="9">
        <v>1</v>
      </c>
      <c r="U15" s="33"/>
      <c r="V15" s="44"/>
      <c r="W15" s="15"/>
      <c r="X15" s="8">
        <v>1</v>
      </c>
      <c r="Y15" s="9">
        <v>1</v>
      </c>
      <c r="Z15" s="33"/>
      <c r="AA15" s="44"/>
      <c r="AB15" s="15"/>
      <c r="AC15" s="8">
        <v>1</v>
      </c>
      <c r="AD15" s="9">
        <v>1</v>
      </c>
      <c r="AE15" s="33"/>
      <c r="AF15" s="44"/>
      <c r="AG15" s="15"/>
      <c r="AH15" s="8">
        <v>1</v>
      </c>
      <c r="AI15" s="9">
        <v>1</v>
      </c>
      <c r="AJ15" s="33"/>
      <c r="AK15" s="44"/>
    </row>
    <row r="16" spans="1:37" ht="15.75" x14ac:dyDescent="0.25">
      <c r="B16" s="56">
        <v>0.70833333333333337</v>
      </c>
      <c r="C16" s="56">
        <v>0.75</v>
      </c>
      <c r="D16" s="8">
        <v>1</v>
      </c>
      <c r="E16" s="9">
        <v>1</v>
      </c>
      <c r="F16" s="42"/>
      <c r="G16" s="44"/>
      <c r="H16" s="15"/>
      <c r="I16" s="8">
        <v>1</v>
      </c>
      <c r="J16" s="9"/>
      <c r="K16" s="33">
        <v>0.5</v>
      </c>
      <c r="L16" s="44"/>
      <c r="M16" s="15"/>
      <c r="N16" s="8"/>
      <c r="O16" s="9">
        <v>1</v>
      </c>
      <c r="P16" s="33"/>
      <c r="Q16" s="44">
        <v>1</v>
      </c>
      <c r="R16" s="15"/>
      <c r="S16" s="8">
        <v>1</v>
      </c>
      <c r="T16" s="9">
        <v>1</v>
      </c>
      <c r="U16" s="33"/>
      <c r="V16" s="44"/>
      <c r="W16" s="15"/>
      <c r="X16" s="8">
        <v>1</v>
      </c>
      <c r="Y16" s="9">
        <v>1</v>
      </c>
      <c r="Z16" s="33"/>
      <c r="AA16" s="44"/>
      <c r="AB16" s="15"/>
      <c r="AC16" s="8">
        <v>1</v>
      </c>
      <c r="AD16" s="9">
        <v>1</v>
      </c>
      <c r="AE16" s="33"/>
      <c r="AF16" s="44"/>
      <c r="AG16" s="15"/>
      <c r="AH16" s="8">
        <v>1</v>
      </c>
      <c r="AI16" s="9">
        <v>1</v>
      </c>
      <c r="AJ16" s="33"/>
      <c r="AK16" s="44"/>
    </row>
    <row r="17" spans="1:37" ht="15.75" x14ac:dyDescent="0.25">
      <c r="A17" s="2"/>
      <c r="B17" s="56">
        <v>0.75</v>
      </c>
      <c r="C17" s="56">
        <v>0.79166666666666696</v>
      </c>
      <c r="D17" s="8"/>
      <c r="E17" s="9">
        <v>1</v>
      </c>
      <c r="F17" s="42">
        <v>1</v>
      </c>
      <c r="G17" s="44"/>
      <c r="H17" s="15"/>
      <c r="I17" s="8">
        <v>1</v>
      </c>
      <c r="J17" s="9"/>
      <c r="K17" s="33">
        <v>1</v>
      </c>
      <c r="L17" s="44"/>
      <c r="M17" s="15"/>
      <c r="N17" s="8"/>
      <c r="O17" s="9"/>
      <c r="P17" s="33">
        <v>1</v>
      </c>
      <c r="Q17" s="44">
        <v>1</v>
      </c>
      <c r="R17" s="15"/>
      <c r="S17" s="8">
        <v>1</v>
      </c>
      <c r="T17" s="9">
        <v>1</v>
      </c>
      <c r="U17" s="33"/>
      <c r="V17" s="44"/>
      <c r="W17" s="15"/>
      <c r="X17" s="8">
        <v>1</v>
      </c>
      <c r="Y17" s="9"/>
      <c r="Z17" s="33">
        <v>0.5</v>
      </c>
      <c r="AA17" s="44"/>
      <c r="AB17" s="15"/>
      <c r="AC17" s="8">
        <v>1</v>
      </c>
      <c r="AD17" s="9">
        <v>1</v>
      </c>
      <c r="AE17" s="33"/>
      <c r="AF17" s="44">
        <v>0.5</v>
      </c>
      <c r="AG17" s="15"/>
      <c r="AH17" s="8">
        <v>1</v>
      </c>
      <c r="AI17" s="9"/>
      <c r="AJ17" s="33">
        <v>0.5</v>
      </c>
      <c r="AK17" s="44">
        <v>0.5</v>
      </c>
    </row>
    <row r="18" spans="1:37" ht="15.75" x14ac:dyDescent="0.25">
      <c r="A18" s="2"/>
      <c r="B18" s="56">
        <v>0.79166666666666696</v>
      </c>
      <c r="C18" s="56">
        <v>0.83333333333333304</v>
      </c>
      <c r="D18" s="8"/>
      <c r="E18" s="9">
        <v>1</v>
      </c>
      <c r="F18" s="42">
        <v>1</v>
      </c>
      <c r="G18" s="44"/>
      <c r="H18" s="15"/>
      <c r="I18" s="8">
        <v>1</v>
      </c>
      <c r="J18" s="9"/>
      <c r="K18" s="33">
        <v>1</v>
      </c>
      <c r="L18" s="44"/>
      <c r="M18" s="15"/>
      <c r="N18" s="8"/>
      <c r="O18" s="9"/>
      <c r="P18" s="33">
        <v>1</v>
      </c>
      <c r="Q18" s="44">
        <v>1</v>
      </c>
      <c r="R18" s="15"/>
      <c r="S18" s="8">
        <v>1</v>
      </c>
      <c r="T18" s="9">
        <v>1</v>
      </c>
      <c r="U18" s="33"/>
      <c r="V18" s="44"/>
      <c r="W18" s="15"/>
      <c r="X18" s="8">
        <v>1</v>
      </c>
      <c r="Y18" s="9"/>
      <c r="Z18" s="33">
        <v>1</v>
      </c>
      <c r="AA18" s="44"/>
      <c r="AB18" s="15"/>
      <c r="AC18" s="8">
        <v>1</v>
      </c>
      <c r="AD18" s="9">
        <v>1</v>
      </c>
      <c r="AE18" s="33"/>
      <c r="AF18" s="44">
        <v>1</v>
      </c>
      <c r="AG18" s="15"/>
      <c r="AH18" s="8">
        <v>1</v>
      </c>
      <c r="AI18" s="9"/>
      <c r="AJ18" s="33">
        <v>1</v>
      </c>
      <c r="AK18" s="44">
        <v>1</v>
      </c>
    </row>
    <row r="19" spans="1:37" ht="15.75" x14ac:dyDescent="0.25">
      <c r="A19" s="2"/>
      <c r="B19" s="56">
        <v>0.83333333333333337</v>
      </c>
      <c r="C19" s="56">
        <v>0.875</v>
      </c>
      <c r="D19" s="8"/>
      <c r="E19" s="9">
        <v>1</v>
      </c>
      <c r="F19" s="42">
        <v>1</v>
      </c>
      <c r="G19" s="44"/>
      <c r="H19" s="15"/>
      <c r="I19" s="8">
        <v>1</v>
      </c>
      <c r="J19" s="9"/>
      <c r="K19" s="33">
        <v>1</v>
      </c>
      <c r="L19" s="44"/>
      <c r="M19" s="15"/>
      <c r="N19" s="8"/>
      <c r="O19" s="9"/>
      <c r="P19" s="33">
        <v>1</v>
      </c>
      <c r="Q19" s="44">
        <v>1</v>
      </c>
      <c r="R19" s="15"/>
      <c r="S19" s="8">
        <v>1</v>
      </c>
      <c r="T19" s="9">
        <v>1</v>
      </c>
      <c r="U19" s="33"/>
      <c r="V19" s="44"/>
      <c r="W19" s="15"/>
      <c r="X19" s="8">
        <v>1</v>
      </c>
      <c r="Y19" s="9"/>
      <c r="Z19" s="33">
        <v>1</v>
      </c>
      <c r="AA19" s="44"/>
      <c r="AB19" s="15"/>
      <c r="AC19" s="8">
        <v>1</v>
      </c>
      <c r="AD19" s="9">
        <v>1</v>
      </c>
      <c r="AE19" s="33"/>
      <c r="AF19" s="44">
        <v>1</v>
      </c>
      <c r="AG19" s="15"/>
      <c r="AH19" s="8">
        <v>1</v>
      </c>
      <c r="AI19" s="9"/>
      <c r="AJ19" s="33">
        <v>1</v>
      </c>
      <c r="AK19" s="44">
        <v>1</v>
      </c>
    </row>
    <row r="20" spans="1:37" ht="15.75" x14ac:dyDescent="0.25">
      <c r="A20" s="2"/>
      <c r="B20" s="56">
        <v>0.875</v>
      </c>
      <c r="C20" s="56">
        <v>0.91666666666666696</v>
      </c>
      <c r="D20" s="39"/>
      <c r="E20" s="9">
        <v>1</v>
      </c>
      <c r="F20" s="42">
        <v>1</v>
      </c>
      <c r="G20" s="44"/>
      <c r="H20" s="15"/>
      <c r="I20" s="8">
        <v>1</v>
      </c>
      <c r="J20" s="9"/>
      <c r="K20" s="33">
        <v>1</v>
      </c>
      <c r="L20" s="44"/>
      <c r="M20" s="15"/>
      <c r="N20" s="8"/>
      <c r="O20" s="9"/>
      <c r="P20" s="33">
        <v>1</v>
      </c>
      <c r="Q20" s="44">
        <v>1</v>
      </c>
      <c r="R20" s="15"/>
      <c r="S20" s="8">
        <v>1</v>
      </c>
      <c r="T20" s="9">
        <v>1</v>
      </c>
      <c r="U20" s="33"/>
      <c r="V20" s="44"/>
      <c r="W20" s="15"/>
      <c r="X20" s="8">
        <v>1</v>
      </c>
      <c r="Y20" s="9"/>
      <c r="Z20" s="33">
        <v>1</v>
      </c>
      <c r="AA20" s="44"/>
      <c r="AB20" s="15"/>
      <c r="AC20" s="8">
        <v>1</v>
      </c>
      <c r="AD20" s="9">
        <v>1</v>
      </c>
      <c r="AE20" s="33"/>
      <c r="AF20" s="44">
        <v>1</v>
      </c>
      <c r="AG20" s="15"/>
      <c r="AH20" s="8">
        <v>1</v>
      </c>
      <c r="AI20" s="9"/>
      <c r="AJ20" s="33">
        <v>1</v>
      </c>
      <c r="AK20" s="44">
        <v>1</v>
      </c>
    </row>
    <row r="21" spans="1:37" ht="15.75" x14ac:dyDescent="0.25">
      <c r="A21" s="2"/>
      <c r="B21" s="56">
        <v>0.91666666666666663</v>
      </c>
      <c r="C21" s="56">
        <v>0.95833333333333337</v>
      </c>
      <c r="D21" s="37"/>
      <c r="E21" s="38"/>
      <c r="F21" s="30"/>
      <c r="G21" s="45"/>
      <c r="H21" s="15"/>
      <c r="I21" s="37"/>
      <c r="J21" s="38"/>
      <c r="K21" s="30"/>
      <c r="L21" s="45"/>
      <c r="M21" s="15"/>
      <c r="N21" s="37"/>
      <c r="O21" s="38"/>
      <c r="P21" s="30"/>
      <c r="Q21" s="45"/>
      <c r="R21" s="15"/>
      <c r="S21" s="37"/>
      <c r="T21" s="38"/>
      <c r="U21" s="30"/>
      <c r="V21" s="45"/>
      <c r="W21" s="15"/>
      <c r="X21" s="37"/>
      <c r="Y21" s="38"/>
      <c r="Z21" s="30"/>
      <c r="AA21" s="45"/>
      <c r="AB21" s="15"/>
      <c r="AC21" s="37"/>
      <c r="AD21" s="38"/>
      <c r="AE21" s="30"/>
      <c r="AF21" s="45"/>
      <c r="AG21" s="15"/>
      <c r="AH21" s="37"/>
      <c r="AI21" s="38"/>
      <c r="AJ21" s="30"/>
      <c r="AK21" s="45"/>
    </row>
    <row r="22" spans="1:37" ht="15.75" x14ac:dyDescent="0.25">
      <c r="A22" s="2"/>
      <c r="B22" s="53"/>
      <c r="C22" s="53"/>
    </row>
    <row r="23" spans="1:37" customFormat="1" ht="15.75" x14ac:dyDescent="0.25">
      <c r="A23" s="11"/>
      <c r="B23" s="57"/>
      <c r="C23" s="57"/>
      <c r="D23" s="75"/>
      <c r="E23" s="75"/>
      <c r="F23" s="75"/>
      <c r="G23" s="43"/>
      <c r="I23" s="75"/>
      <c r="J23" s="75"/>
      <c r="K23" s="27"/>
      <c r="L23" s="35"/>
      <c r="N23" s="75"/>
      <c r="O23" s="75"/>
      <c r="P23" s="27"/>
      <c r="Q23" s="35"/>
      <c r="S23" s="75"/>
      <c r="T23" s="75"/>
      <c r="U23" s="27"/>
      <c r="V23" s="35"/>
      <c r="X23" s="75"/>
      <c r="Y23" s="75"/>
      <c r="Z23" s="27"/>
      <c r="AA23" s="35"/>
      <c r="AC23" s="75"/>
      <c r="AD23" s="75"/>
      <c r="AE23" s="27"/>
      <c r="AF23" s="35"/>
      <c r="AH23" s="75"/>
      <c r="AI23" s="75"/>
      <c r="AJ23" s="27"/>
      <c r="AK23" s="35"/>
    </row>
    <row r="24" spans="1:37" s="58" customFormat="1" ht="23.25" customHeight="1" x14ac:dyDescent="0.25">
      <c r="A24" s="60"/>
      <c r="C24" s="59" t="s">
        <v>4</v>
      </c>
      <c r="D24" s="61">
        <f>SUM(D7:D21)</f>
        <v>8</v>
      </c>
      <c r="E24" s="62">
        <f>SUM(E7:E20)</f>
        <v>9</v>
      </c>
      <c r="F24" s="63">
        <f>SUM(F7:F20)</f>
        <v>4</v>
      </c>
      <c r="G24" s="64">
        <f>SUM(G7:G21)</f>
        <v>0</v>
      </c>
      <c r="H24" s="65"/>
      <c r="I24" s="61">
        <f>SUM(I7:I20)</f>
        <v>8</v>
      </c>
      <c r="J24" s="62">
        <f>SUM(J7:J20)</f>
        <v>0</v>
      </c>
      <c r="K24" s="66">
        <f>SUM(K7:K20)</f>
        <v>4.5</v>
      </c>
      <c r="L24" s="64">
        <f>SUM(L7:L21)</f>
        <v>6.5</v>
      </c>
      <c r="M24" s="65"/>
      <c r="N24" s="61">
        <f>SUM(N7:N20)</f>
        <v>0</v>
      </c>
      <c r="O24" s="62">
        <f>SUM(O7:O20)</f>
        <v>8</v>
      </c>
      <c r="P24" s="66">
        <f>SUM(P7:P20)</f>
        <v>4</v>
      </c>
      <c r="Q24" s="64">
        <f>SUM(Q7:Q21)</f>
        <v>6.5</v>
      </c>
      <c r="R24" s="65"/>
      <c r="S24" s="61">
        <f>SUM(S7:S20)</f>
        <v>9</v>
      </c>
      <c r="T24" s="62">
        <f>SUM(T7:T20)</f>
        <v>7</v>
      </c>
      <c r="U24" s="66">
        <f>SUM(U7:U20)</f>
        <v>0</v>
      </c>
      <c r="V24" s="64">
        <f>SUM(V7:V21)</f>
        <v>3.5</v>
      </c>
      <c r="W24" s="65"/>
      <c r="X24" s="61">
        <f>SUM(X7:X21)</f>
        <v>10.5</v>
      </c>
      <c r="Y24" s="62">
        <f>SUM(Y7:Y21)</f>
        <v>8</v>
      </c>
      <c r="Z24" s="66">
        <f>SUM(Z7:Z21)</f>
        <v>3.5</v>
      </c>
      <c r="AA24" s="64">
        <f>SUM(AA7:AA21)</f>
        <v>0</v>
      </c>
      <c r="AB24" s="65"/>
      <c r="AC24" s="61">
        <f>SUM(AC7:AC21)</f>
        <v>8.5</v>
      </c>
      <c r="AD24" s="62">
        <f>SUM(AD7:AD21)</f>
        <v>8</v>
      </c>
      <c r="AE24" s="66">
        <f>SUM(AE7:AE21)</f>
        <v>4</v>
      </c>
      <c r="AF24" s="64">
        <f>SUM(AF7:AF20)</f>
        <v>3.5</v>
      </c>
      <c r="AG24" s="65"/>
      <c r="AH24" s="61">
        <f>SUM(AH7:AH21)</f>
        <v>7</v>
      </c>
      <c r="AI24" s="62">
        <f>SUM(AI7:AI21)</f>
        <v>8</v>
      </c>
      <c r="AJ24" s="66">
        <f>SUM(AJ7:AJ21)</f>
        <v>3.5</v>
      </c>
      <c r="AK24" s="64">
        <f>SUM(AK7:AK21)</f>
        <v>3.5</v>
      </c>
    </row>
    <row r="25" spans="1:37" ht="31.5" customHeight="1" x14ac:dyDescent="0.25">
      <c r="A25" s="2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10"/>
      <c r="AJ25" s="10"/>
      <c r="AK25" s="10"/>
    </row>
    <row r="26" spans="1:37" x14ac:dyDescent="0.25">
      <c r="A26" s="2"/>
      <c r="B26" s="24" t="s">
        <v>3</v>
      </c>
      <c r="C26" s="24"/>
      <c r="D26" s="76" t="s">
        <v>10</v>
      </c>
      <c r="E26" s="76"/>
      <c r="F26" s="25"/>
      <c r="G26" s="28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</row>
    <row r="27" spans="1:37" s="22" customFormat="1" ht="21" x14ac:dyDescent="0.35">
      <c r="A27" s="18"/>
      <c r="B27" s="47" t="s">
        <v>8</v>
      </c>
      <c r="C27" s="47"/>
      <c r="D27" s="74" t="s">
        <v>14</v>
      </c>
      <c r="E27" s="74"/>
      <c r="F27" s="19">
        <f>D24+I24+N24+S24+X24+AC24+AH24</f>
        <v>51</v>
      </c>
      <c r="G27" s="29">
        <f>F27-48</f>
        <v>3</v>
      </c>
      <c r="H27" s="23" t="s">
        <v>11</v>
      </c>
      <c r="J27" s="20"/>
      <c r="K27" s="40"/>
      <c r="L27" s="40"/>
      <c r="M27" s="67"/>
      <c r="N27" s="73"/>
      <c r="O27" s="68"/>
      <c r="P27" s="69"/>
      <c r="Q27" s="69"/>
      <c r="R27" s="70"/>
      <c r="S27" s="68"/>
      <c r="T27" s="68"/>
      <c r="U27" s="68"/>
      <c r="V27" s="68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</row>
    <row r="28" spans="1:37" s="22" customFormat="1" ht="18.75" x14ac:dyDescent="0.3">
      <c r="A28" s="18"/>
      <c r="B28" s="48" t="s">
        <v>9</v>
      </c>
      <c r="C28" s="48"/>
      <c r="D28" s="74" t="s">
        <v>17</v>
      </c>
      <c r="E28" s="74"/>
      <c r="F28" s="19">
        <f>E24+J24+O24+T24+Y24+AD24+AI24</f>
        <v>48</v>
      </c>
      <c r="G28" s="29"/>
      <c r="H28" s="23" t="s">
        <v>11</v>
      </c>
      <c r="J28" s="20"/>
      <c r="M28" s="71"/>
      <c r="N28" s="70"/>
      <c r="O28" s="70"/>
      <c r="P28" s="69"/>
      <c r="Q28" s="69"/>
      <c r="R28" s="69"/>
      <c r="S28" s="68"/>
      <c r="T28" s="68"/>
      <c r="U28" s="68"/>
      <c r="V28" s="68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</row>
    <row r="29" spans="1:37" s="22" customFormat="1" ht="18.75" x14ac:dyDescent="0.3">
      <c r="B29" s="49" t="s">
        <v>16</v>
      </c>
      <c r="C29" s="49"/>
      <c r="D29" s="74" t="s">
        <v>15</v>
      </c>
      <c r="E29" s="74"/>
      <c r="F29" s="19">
        <f>F24+K24+P24+U24+Z24+AE24+AJ24</f>
        <v>23.5</v>
      </c>
      <c r="G29" s="29"/>
      <c r="H29" s="23" t="s">
        <v>11</v>
      </c>
      <c r="J29" s="20"/>
      <c r="K29" s="40"/>
      <c r="L29" s="40"/>
      <c r="M29" s="68"/>
      <c r="N29" s="68"/>
      <c r="O29" s="68"/>
      <c r="P29" s="70"/>
      <c r="Q29" s="70"/>
      <c r="R29" s="70"/>
      <c r="S29" s="68"/>
      <c r="T29" s="68"/>
      <c r="U29" s="68"/>
      <c r="V29" s="68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</row>
    <row r="30" spans="1:37" ht="18.75" x14ac:dyDescent="0.3">
      <c r="B30" s="50" t="s">
        <v>19</v>
      </c>
      <c r="C30" s="50"/>
      <c r="D30" s="74" t="s">
        <v>22</v>
      </c>
      <c r="E30" s="74"/>
      <c r="F30" s="19">
        <f>G24+L24+Q24+V24+AA24+AF24+AK24</f>
        <v>23.5</v>
      </c>
      <c r="G30" s="29"/>
      <c r="H30" s="23" t="s">
        <v>11</v>
      </c>
      <c r="M30" s="72"/>
      <c r="N30" s="72"/>
      <c r="O30" s="72"/>
      <c r="P30" s="72"/>
      <c r="Q30" s="72"/>
      <c r="R30" s="72"/>
      <c r="S30" s="72"/>
      <c r="T30" s="72"/>
      <c r="U30" s="72"/>
      <c r="V30" s="72"/>
    </row>
    <row r="34" spans="14:14" x14ac:dyDescent="0.25">
      <c r="N34" s="4" t="s">
        <v>21</v>
      </c>
    </row>
  </sheetData>
  <sheetProtection selectLockedCells="1"/>
  <mergeCells count="12">
    <mergeCell ref="AH23:AI23"/>
    <mergeCell ref="D26:E26"/>
    <mergeCell ref="D27:E27"/>
    <mergeCell ref="D28:E28"/>
    <mergeCell ref="D29:E29"/>
    <mergeCell ref="X23:Y23"/>
    <mergeCell ref="AC23:AD23"/>
    <mergeCell ref="D30:E30"/>
    <mergeCell ref="D23:F23"/>
    <mergeCell ref="I23:J23"/>
    <mergeCell ref="N23:O23"/>
    <mergeCell ref="S23:T23"/>
  </mergeCells>
  <conditionalFormatting sqref="X7:Y21 N7:O21 S7:T21 I7:J21 AH7:AI21 AC7:AD21 D7:G21 Z9:Z11">
    <cfRule type="expression" dxfId="43" priority="22">
      <formula>IF(OR(D7=0,D7=""),TRUE(),FALSE())</formula>
    </cfRule>
  </conditionalFormatting>
  <conditionalFormatting sqref="AE9:AE11">
    <cfRule type="expression" dxfId="42" priority="21">
      <formula>IF(OR(AE9=0,AE9=""),TRUE(),FALSE())</formula>
    </cfRule>
  </conditionalFormatting>
  <conditionalFormatting sqref="AJ9:AJ11">
    <cfRule type="expression" dxfId="41" priority="20">
      <formula>IF(OR(AJ9=0,AJ9=""),TRUE(),FALSE())</formula>
    </cfRule>
  </conditionalFormatting>
  <conditionalFormatting sqref="K7:K11">
    <cfRule type="expression" dxfId="40" priority="19">
      <formula>IF(OR(K7=0,K7=""),TRUE(),FALSE())</formula>
    </cfRule>
  </conditionalFormatting>
  <conditionalFormatting sqref="P9:P21">
    <cfRule type="expression" dxfId="39" priority="18">
      <formula>IF(OR(P9=0,P9=""),TRUE(),FALSE())</formula>
    </cfRule>
  </conditionalFormatting>
  <conditionalFormatting sqref="U9:U11">
    <cfRule type="expression" dxfId="38" priority="17">
      <formula>IF(OR(U9=0,U9=""),TRUE(),FALSE())</formula>
    </cfRule>
  </conditionalFormatting>
  <conditionalFormatting sqref="K12:K21">
    <cfRule type="expression" dxfId="37" priority="16">
      <formula>IF(OR(K12=0,K12=""),TRUE(),FALSE())</formula>
    </cfRule>
  </conditionalFormatting>
  <conditionalFormatting sqref="U12:U21">
    <cfRule type="expression" dxfId="36" priority="15">
      <formula>IF(OR(U12=0,U12=""),TRUE(),FALSE())</formula>
    </cfRule>
  </conditionalFormatting>
  <conditionalFormatting sqref="Z12:Z21">
    <cfRule type="expression" dxfId="35" priority="14">
      <formula>IF(OR(Z12=0,Z12=""),TRUE(),FALSE())</formula>
    </cfRule>
  </conditionalFormatting>
  <conditionalFormatting sqref="AE12:AE21">
    <cfRule type="expression" dxfId="34" priority="13">
      <formula>IF(OR(AE12=0,AE12=""),TRUE(),FALSE())</formula>
    </cfRule>
  </conditionalFormatting>
  <conditionalFormatting sqref="AJ12:AJ21">
    <cfRule type="expression" dxfId="33" priority="12">
      <formula>IF(OR(AJ12=0,AJ12=""),TRUE(),FALSE())</formula>
    </cfRule>
  </conditionalFormatting>
  <conditionalFormatting sqref="P7:P8">
    <cfRule type="expression" dxfId="32" priority="11">
      <formula>IF(OR(P7=0,P7=""),TRUE(),FALSE())</formula>
    </cfRule>
  </conditionalFormatting>
  <conditionalFormatting sqref="U7:U8">
    <cfRule type="expression" dxfId="31" priority="10">
      <formula>IF(OR(U7=0,U7=""),TRUE(),FALSE())</formula>
    </cfRule>
  </conditionalFormatting>
  <conditionalFormatting sqref="Z7:Z8">
    <cfRule type="expression" dxfId="30" priority="9">
      <formula>IF(OR(Z7=0,Z7=""),TRUE(),FALSE())</formula>
    </cfRule>
  </conditionalFormatting>
  <conditionalFormatting sqref="AE7:AE8">
    <cfRule type="expression" dxfId="29" priority="8">
      <formula>IF(OR(AE7=0,AE7=""),TRUE(),FALSE())</formula>
    </cfRule>
  </conditionalFormatting>
  <conditionalFormatting sqref="AJ7:AJ8">
    <cfRule type="expression" dxfId="28" priority="7">
      <formula>IF(OR(AJ7=0,AJ7=""),TRUE(),FALSE())</formula>
    </cfRule>
  </conditionalFormatting>
  <conditionalFormatting sqref="L7:L21">
    <cfRule type="expression" dxfId="27" priority="6">
      <formula>IF(OR(L7=0,L7=""),TRUE(),FALSE())</formula>
    </cfRule>
  </conditionalFormatting>
  <conditionalFormatting sqref="V7:V21">
    <cfRule type="expression" dxfId="26" priority="5">
      <formula>IF(OR(V7=0,V7=""),TRUE(),FALSE())</formula>
    </cfRule>
  </conditionalFormatting>
  <conditionalFormatting sqref="AA7:AA21">
    <cfRule type="expression" dxfId="25" priority="4">
      <formula>IF(OR(AA7=0,AA7=""),TRUE(),FALSE())</formula>
    </cfRule>
  </conditionalFormatting>
  <conditionalFormatting sqref="AF7:AF21">
    <cfRule type="expression" dxfId="24" priority="3">
      <formula>IF(OR(AF7=0,AF7=""),TRUE(),FALSE())</formula>
    </cfRule>
  </conditionalFormatting>
  <conditionalFormatting sqref="AK7:AK21">
    <cfRule type="expression" dxfId="23" priority="2">
      <formula>IF(OR(AK7=0,AK7=""),TRUE(),FALSE())</formula>
    </cfRule>
  </conditionalFormatting>
  <conditionalFormatting sqref="Q7:Q21">
    <cfRule type="expression" dxfId="22" priority="1">
      <formula>IF(OR(Q7=0,Q7=""),TRUE(),FALSE())</formula>
    </cfRule>
  </conditionalFormatting>
  <dataValidations count="1">
    <dataValidation type="list" allowBlank="1" showInputMessage="1" showErrorMessage="1" sqref="Z9:AA21 N7:O21 AH7:AI21 I7:J21 K12:L21 AJ12:AK21 U9:V21 AE12:AF21 S7:T21 X7:Y21 AC7:AD21 D7:G21" xr:uid="{4FA3D16C-F84C-4B12-B37A-2AA8C417A0F2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5D71E-01B3-4D24-A97B-BABEC6F44492}">
  <sheetPr codeName="Hoja3"/>
  <dimension ref="A1:AK34"/>
  <sheetViews>
    <sheetView showGridLines="0" zoomScale="50" zoomScaleNormal="50" workbookViewId="0">
      <pane xSplit="3" ySplit="6" topLeftCell="D7" activePane="bottomRight" state="frozen"/>
      <selection pane="topRight" activeCell="D1" sqref="D1"/>
      <selection pane="bottomLeft" activeCell="A8" sqref="A8"/>
      <selection pane="bottomRight" activeCell="Q15" sqref="Q15"/>
    </sheetView>
  </sheetViews>
  <sheetFormatPr baseColWidth="10" defaultRowHeight="15" x14ac:dyDescent="0.25"/>
  <cols>
    <col min="1" max="1" width="1.5703125" style="4" customWidth="1"/>
    <col min="2" max="2" width="15.5703125" style="4" customWidth="1"/>
    <col min="3" max="3" width="19" style="4" customWidth="1"/>
    <col min="4" max="5" width="7.7109375" style="4" customWidth="1"/>
    <col min="6" max="6" width="11.140625" style="4" customWidth="1"/>
    <col min="7" max="7" width="8.140625" style="4" customWidth="1"/>
    <col min="8" max="8" width="10.5703125" style="4" customWidth="1"/>
    <col min="9" max="37" width="7.7109375" style="4" customWidth="1"/>
    <col min="38" max="38" width="5.140625" style="4" customWidth="1"/>
    <col min="39" max="16384" width="11.42578125" style="4"/>
  </cols>
  <sheetData>
    <row r="1" spans="1:37" ht="17.25" customHeight="1" x14ac:dyDescent="0.3">
      <c r="A1" s="1" t="s">
        <v>0</v>
      </c>
      <c r="B1" s="51"/>
      <c r="C1" s="51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</row>
    <row r="2" spans="1:37" ht="22.5" customHeight="1" x14ac:dyDescent="0.25">
      <c r="A2" s="17" t="s">
        <v>1</v>
      </c>
      <c r="B2" s="52"/>
      <c r="C2" s="52"/>
      <c r="D2" s="14" t="str">
        <f>UPPER(CONCATENATE("HORARIO ",TEXT(DAY(C5),"00")," DE ",TEXT(C5,"mmmm")," AL ",TEXT(DAY(C5+6),"00")," DE ",TEXT(C5+6,"mmmm")))</f>
        <v>HORARIO 14 DE SETIEMBRE AL 20 DE SETIEMBRE</v>
      </c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</row>
    <row r="3" spans="1:37" ht="15.75" x14ac:dyDescent="0.25">
      <c r="A3" s="5"/>
      <c r="B3" s="53"/>
      <c r="C3" s="53"/>
    </row>
    <row r="4" spans="1:37" ht="15.75" x14ac:dyDescent="0.25">
      <c r="B4" s="53"/>
      <c r="C4" s="53"/>
    </row>
    <row r="5" spans="1:37" ht="36.75" customHeight="1" x14ac:dyDescent="0.4">
      <c r="B5" s="54" t="s">
        <v>5</v>
      </c>
      <c r="C5" s="55">
        <v>46279</v>
      </c>
      <c r="D5" s="34" t="str">
        <f>CONCATENATE("Lunes ",TEXT(DAY(C5),"00"))</f>
        <v>Lunes 14</v>
      </c>
      <c r="E5" s="34"/>
      <c r="F5" s="34"/>
      <c r="G5" s="34"/>
      <c r="H5" s="12"/>
      <c r="I5" s="34" t="str">
        <f>CONCATENATE("Martes ",TEXT(DAY(C5+1),"00"))</f>
        <v>Martes 15</v>
      </c>
      <c r="J5" s="34"/>
      <c r="K5" s="34"/>
      <c r="L5" s="26"/>
      <c r="M5" s="12"/>
      <c r="N5" s="13" t="str">
        <f>CONCATENATE("Miercoles ",TEXT(DAY(C5+2),"00"))</f>
        <v>Miercoles 16</v>
      </c>
      <c r="O5" s="13"/>
      <c r="P5" s="26"/>
      <c r="Q5" s="26"/>
      <c r="R5" s="12"/>
      <c r="S5" s="13" t="str">
        <f>CONCATENATE("Jueves ",TEXT(DAY(C5+3),"00"))</f>
        <v>Jueves 17</v>
      </c>
      <c r="T5" s="13"/>
      <c r="U5" s="26"/>
      <c r="V5" s="26"/>
      <c r="W5" s="12"/>
      <c r="X5" s="13" t="str">
        <f>CONCATENATE("Viernes ",TEXT(DAY(C5+4),"00"))</f>
        <v>Viernes 18</v>
      </c>
      <c r="Y5" s="13"/>
      <c r="Z5" s="26"/>
      <c r="AA5" s="26"/>
      <c r="AB5" s="12"/>
      <c r="AC5" s="13" t="str">
        <f>CONCATENATE("Sábado ",TEXT(DAY(C5+5),"00"))</f>
        <v>Sábado 19</v>
      </c>
      <c r="AD5" s="13"/>
      <c r="AE5" s="26"/>
      <c r="AF5" s="26"/>
      <c r="AG5" s="12"/>
      <c r="AH5" s="13" t="str">
        <f>CONCATENATE("Domingo ",TEXT(DAY(C5+6),"00"))</f>
        <v>Domingo 20</v>
      </c>
      <c r="AI5" s="13"/>
      <c r="AJ5" s="26"/>
      <c r="AK5" s="26"/>
    </row>
    <row r="6" spans="1:37" ht="81.75" customHeight="1" x14ac:dyDescent="0.25">
      <c r="B6" s="53"/>
      <c r="C6" s="53"/>
      <c r="D6" s="6" t="s">
        <v>6</v>
      </c>
      <c r="E6" s="7" t="s">
        <v>7</v>
      </c>
      <c r="F6" s="32" t="s">
        <v>13</v>
      </c>
      <c r="G6" s="46" t="s">
        <v>18</v>
      </c>
      <c r="I6" s="6" t="s">
        <v>6</v>
      </c>
      <c r="J6" s="7" t="s">
        <v>7</v>
      </c>
      <c r="K6" s="32" t="s">
        <v>13</v>
      </c>
      <c r="L6" s="46" t="s">
        <v>18</v>
      </c>
      <c r="N6" s="6" t="s">
        <v>6</v>
      </c>
      <c r="O6" s="7" t="s">
        <v>7</v>
      </c>
      <c r="P6" s="32" t="s">
        <v>13</v>
      </c>
      <c r="Q6" s="46" t="s">
        <v>18</v>
      </c>
      <c r="S6" s="6" t="s">
        <v>6</v>
      </c>
      <c r="T6" s="7" t="s">
        <v>7</v>
      </c>
      <c r="U6" s="32" t="s">
        <v>13</v>
      </c>
      <c r="V6" s="46" t="s">
        <v>18</v>
      </c>
      <c r="X6" s="6" t="s">
        <v>6</v>
      </c>
      <c r="Y6" s="7" t="s">
        <v>7</v>
      </c>
      <c r="Z6" s="32" t="s">
        <v>13</v>
      </c>
      <c r="AA6" s="46" t="s">
        <v>18</v>
      </c>
      <c r="AC6" s="6" t="s">
        <v>6</v>
      </c>
      <c r="AD6" s="7" t="s">
        <v>7</v>
      </c>
      <c r="AE6" s="32" t="s">
        <v>12</v>
      </c>
      <c r="AF6" s="46" t="s">
        <v>18</v>
      </c>
      <c r="AH6" s="6" t="s">
        <v>6</v>
      </c>
      <c r="AI6" s="7" t="s">
        <v>7</v>
      </c>
      <c r="AJ6" s="32" t="s">
        <v>12</v>
      </c>
      <c r="AK6" s="46" t="s">
        <v>18</v>
      </c>
    </row>
    <row r="7" spans="1:37" ht="15.75" x14ac:dyDescent="0.25">
      <c r="B7" s="56">
        <v>0.33333333333333298</v>
      </c>
      <c r="C7" s="56">
        <v>0.375</v>
      </c>
      <c r="D7" s="8"/>
      <c r="E7" s="9"/>
      <c r="F7" s="42"/>
      <c r="G7" s="44"/>
      <c r="H7" s="15"/>
      <c r="I7" s="8"/>
      <c r="J7" s="9"/>
      <c r="K7" s="33"/>
      <c r="L7" s="44"/>
      <c r="M7" s="15"/>
      <c r="N7" s="8"/>
      <c r="O7" s="9"/>
      <c r="P7" s="33"/>
      <c r="Q7" s="44"/>
      <c r="R7" s="15"/>
      <c r="S7" s="8"/>
      <c r="T7" s="9"/>
      <c r="U7" s="33"/>
      <c r="V7" s="44"/>
      <c r="W7" s="15"/>
      <c r="X7" s="8">
        <v>1</v>
      </c>
      <c r="Y7" s="9"/>
      <c r="Z7" s="33"/>
      <c r="AA7" s="44"/>
      <c r="AB7" s="15"/>
      <c r="AC7" s="8">
        <v>1</v>
      </c>
      <c r="AD7" s="9"/>
      <c r="AE7" s="33"/>
      <c r="AF7" s="44"/>
      <c r="AG7" s="15"/>
      <c r="AH7" s="8"/>
      <c r="AI7" s="9"/>
      <c r="AJ7" s="33"/>
      <c r="AK7" s="44"/>
    </row>
    <row r="8" spans="1:37" ht="15.75" x14ac:dyDescent="0.25">
      <c r="B8" s="56">
        <v>0.375</v>
      </c>
      <c r="C8" s="56">
        <v>0.41666666666666702</v>
      </c>
      <c r="D8" s="8">
        <v>1</v>
      </c>
      <c r="E8" s="9"/>
      <c r="F8" s="42"/>
      <c r="G8" s="44"/>
      <c r="H8" s="15"/>
      <c r="I8" s="8"/>
      <c r="J8" s="9"/>
      <c r="K8" s="33"/>
      <c r="L8" s="44">
        <v>1</v>
      </c>
      <c r="M8" s="15"/>
      <c r="N8" s="8"/>
      <c r="O8" s="9">
        <v>1</v>
      </c>
      <c r="P8" s="33"/>
      <c r="Q8" s="44"/>
      <c r="R8" s="15"/>
      <c r="S8" s="8">
        <v>1</v>
      </c>
      <c r="T8" s="9"/>
      <c r="U8" s="33"/>
      <c r="V8" s="44"/>
      <c r="W8" s="15"/>
      <c r="X8" s="8">
        <v>0.5</v>
      </c>
      <c r="Y8" s="9">
        <v>1</v>
      </c>
      <c r="Z8" s="33"/>
      <c r="AA8" s="44"/>
      <c r="AB8" s="15"/>
      <c r="AC8" s="8">
        <v>0.5</v>
      </c>
      <c r="AD8" s="9"/>
      <c r="AE8" s="33">
        <v>1</v>
      </c>
      <c r="AF8" s="44"/>
      <c r="AG8" s="15"/>
      <c r="AH8" s="8"/>
      <c r="AI8" s="9">
        <v>1</v>
      </c>
      <c r="AJ8" s="33"/>
      <c r="AK8" s="44"/>
    </row>
    <row r="9" spans="1:37" ht="15.75" x14ac:dyDescent="0.25">
      <c r="A9" s="2"/>
      <c r="B9" s="56">
        <v>0.41666666666666669</v>
      </c>
      <c r="C9" s="56">
        <v>0.45833333333333331</v>
      </c>
      <c r="D9" s="8">
        <v>1</v>
      </c>
      <c r="E9" s="9"/>
      <c r="F9" s="42"/>
      <c r="G9" s="44"/>
      <c r="H9" s="15"/>
      <c r="I9" s="8"/>
      <c r="J9" s="9"/>
      <c r="K9" s="33"/>
      <c r="L9" s="44">
        <v>1</v>
      </c>
      <c r="M9" s="15"/>
      <c r="N9" s="8"/>
      <c r="O9" s="9">
        <v>1</v>
      </c>
      <c r="P9" s="33"/>
      <c r="Q9" s="44"/>
      <c r="R9" s="15"/>
      <c r="S9" s="8">
        <v>1</v>
      </c>
      <c r="T9" s="9"/>
      <c r="U9" s="30"/>
      <c r="V9" s="44"/>
      <c r="W9" s="15"/>
      <c r="X9" s="8"/>
      <c r="Y9" s="9">
        <v>1</v>
      </c>
      <c r="Z9" s="36"/>
      <c r="AA9" s="44"/>
      <c r="AB9" s="15"/>
      <c r="AC9" s="8"/>
      <c r="AD9" s="9"/>
      <c r="AE9" s="36">
        <v>1</v>
      </c>
      <c r="AF9" s="44"/>
      <c r="AG9" s="15"/>
      <c r="AH9" s="8"/>
      <c r="AI9" s="9">
        <v>1</v>
      </c>
      <c r="AJ9" s="36"/>
      <c r="AK9" s="44"/>
    </row>
    <row r="10" spans="1:37" ht="15" customHeight="1" x14ac:dyDescent="0.25">
      <c r="A10" s="2"/>
      <c r="B10" s="56">
        <v>0.45833333333333331</v>
      </c>
      <c r="C10" s="56">
        <v>0.5</v>
      </c>
      <c r="D10" s="8">
        <v>1</v>
      </c>
      <c r="E10" s="9"/>
      <c r="F10" s="42"/>
      <c r="G10" s="44"/>
      <c r="H10" s="15"/>
      <c r="I10" s="8"/>
      <c r="J10" s="9"/>
      <c r="K10" s="33"/>
      <c r="L10" s="44">
        <v>1</v>
      </c>
      <c r="M10" s="15"/>
      <c r="N10" s="8"/>
      <c r="O10" s="9">
        <v>1</v>
      </c>
      <c r="P10" s="33"/>
      <c r="Q10" s="44"/>
      <c r="R10" s="15"/>
      <c r="S10" s="8">
        <v>1</v>
      </c>
      <c r="T10" s="9">
        <v>1</v>
      </c>
      <c r="U10" s="30"/>
      <c r="V10" s="44"/>
      <c r="W10" s="15"/>
      <c r="X10" s="8"/>
      <c r="Y10" s="9">
        <v>1</v>
      </c>
      <c r="Z10" s="36"/>
      <c r="AA10" s="44"/>
      <c r="AB10" s="15"/>
      <c r="AC10" s="8"/>
      <c r="AD10" s="9"/>
      <c r="AE10" s="36">
        <v>1</v>
      </c>
      <c r="AF10" s="44"/>
      <c r="AG10" s="15"/>
      <c r="AH10" s="8"/>
      <c r="AI10" s="9">
        <v>1</v>
      </c>
      <c r="AJ10" s="36"/>
      <c r="AK10" s="44"/>
    </row>
    <row r="11" spans="1:37" ht="15.75" x14ac:dyDescent="0.25">
      <c r="A11" s="2"/>
      <c r="B11" s="56">
        <v>0.5</v>
      </c>
      <c r="C11" s="56">
        <v>0.54166666666666663</v>
      </c>
      <c r="D11" s="8">
        <v>1</v>
      </c>
      <c r="E11" s="9">
        <v>1</v>
      </c>
      <c r="F11" s="42"/>
      <c r="G11" s="44"/>
      <c r="H11" s="15"/>
      <c r="I11" s="8"/>
      <c r="J11" s="9"/>
      <c r="K11" s="33"/>
      <c r="L11" s="44">
        <v>1</v>
      </c>
      <c r="M11" s="15"/>
      <c r="N11" s="8"/>
      <c r="O11" s="9">
        <v>1</v>
      </c>
      <c r="P11" s="33"/>
      <c r="Q11" s="44"/>
      <c r="R11" s="15"/>
      <c r="S11" s="8">
        <v>1</v>
      </c>
      <c r="T11" s="9"/>
      <c r="U11" s="30"/>
      <c r="V11" s="44"/>
      <c r="W11" s="15"/>
      <c r="X11" s="8">
        <v>1</v>
      </c>
      <c r="Y11" s="9">
        <v>1</v>
      </c>
      <c r="Z11" s="36"/>
      <c r="AA11" s="44"/>
      <c r="AB11" s="15"/>
      <c r="AC11" s="8"/>
      <c r="AD11" s="9"/>
      <c r="AE11" s="36">
        <v>1</v>
      </c>
      <c r="AF11" s="44"/>
      <c r="AG11" s="15"/>
      <c r="AH11" s="8"/>
      <c r="AI11" s="9">
        <v>1</v>
      </c>
      <c r="AJ11" s="36"/>
      <c r="AK11" s="44"/>
    </row>
    <row r="12" spans="1:37" ht="15" customHeight="1" x14ac:dyDescent="0.25">
      <c r="A12" s="2"/>
      <c r="B12" s="56">
        <v>0.54166666666666663</v>
      </c>
      <c r="C12" s="56">
        <v>0.58333333333333304</v>
      </c>
      <c r="D12" s="8">
        <v>1</v>
      </c>
      <c r="E12" s="9">
        <v>1</v>
      </c>
      <c r="F12" s="42"/>
      <c r="G12" s="44"/>
      <c r="H12" s="16"/>
      <c r="I12" s="8">
        <v>1</v>
      </c>
      <c r="J12" s="9"/>
      <c r="K12" s="33"/>
      <c r="L12" s="44"/>
      <c r="M12" s="16"/>
      <c r="N12" s="8"/>
      <c r="O12" s="9">
        <v>1</v>
      </c>
      <c r="P12" s="33"/>
      <c r="Q12" s="44"/>
      <c r="R12" s="16"/>
      <c r="S12" s="8"/>
      <c r="T12" s="9">
        <v>1</v>
      </c>
      <c r="U12" s="33"/>
      <c r="V12" s="44"/>
      <c r="W12" s="16"/>
      <c r="X12" s="8">
        <v>1</v>
      </c>
      <c r="Y12" s="9"/>
      <c r="Z12" s="33"/>
      <c r="AA12" s="44"/>
      <c r="AB12" s="16"/>
      <c r="AC12" s="8"/>
      <c r="AD12" s="9">
        <v>1</v>
      </c>
      <c r="AE12" s="33"/>
      <c r="AF12" s="44"/>
      <c r="AG12" s="16"/>
      <c r="AH12" s="8"/>
      <c r="AI12" s="9">
        <v>1</v>
      </c>
      <c r="AJ12" s="33"/>
      <c r="AK12" s="44"/>
    </row>
    <row r="13" spans="1:37" ht="15" customHeight="1" x14ac:dyDescent="0.25">
      <c r="A13" s="2" t="s">
        <v>2</v>
      </c>
      <c r="B13" s="56">
        <v>0.58333333333333304</v>
      </c>
      <c r="C13" s="56">
        <v>0.625</v>
      </c>
      <c r="D13" s="8"/>
      <c r="E13" s="9">
        <v>1</v>
      </c>
      <c r="F13" s="42"/>
      <c r="G13" s="44"/>
      <c r="H13" s="15"/>
      <c r="I13" s="8"/>
      <c r="J13" s="9"/>
      <c r="K13" s="33"/>
      <c r="L13" s="44">
        <v>1</v>
      </c>
      <c r="M13" s="15"/>
      <c r="N13" s="8"/>
      <c r="O13" s="9"/>
      <c r="P13" s="33"/>
      <c r="Q13" s="44">
        <v>0.5</v>
      </c>
      <c r="R13" s="15"/>
      <c r="S13" s="8"/>
      <c r="T13" s="9">
        <v>1</v>
      </c>
      <c r="U13" s="33"/>
      <c r="V13" s="44"/>
      <c r="W13" s="15"/>
      <c r="X13" s="8"/>
      <c r="Y13" s="9">
        <v>1</v>
      </c>
      <c r="Z13" s="33"/>
      <c r="AA13" s="44"/>
      <c r="AB13" s="15"/>
      <c r="AC13" s="8">
        <v>1</v>
      </c>
      <c r="AD13" s="9"/>
      <c r="AE13" s="33"/>
      <c r="AF13" s="44"/>
      <c r="AG13" s="15"/>
      <c r="AH13" s="8">
        <v>1</v>
      </c>
      <c r="AI13" s="9"/>
      <c r="AJ13" s="33"/>
      <c r="AK13" s="44"/>
    </row>
    <row r="14" spans="1:37" ht="15" customHeight="1" x14ac:dyDescent="0.25">
      <c r="A14" s="2"/>
      <c r="B14" s="56">
        <v>0.625</v>
      </c>
      <c r="C14" s="56">
        <v>0.66666666666666696</v>
      </c>
      <c r="D14" s="8">
        <v>1</v>
      </c>
      <c r="E14" s="9"/>
      <c r="F14" s="42"/>
      <c r="G14" s="44"/>
      <c r="H14" s="15"/>
      <c r="I14" s="8">
        <v>1</v>
      </c>
      <c r="J14" s="9"/>
      <c r="K14" s="33"/>
      <c r="L14" s="44">
        <v>1</v>
      </c>
      <c r="M14" s="15"/>
      <c r="N14" s="8"/>
      <c r="O14" s="9">
        <v>1</v>
      </c>
      <c r="P14" s="33"/>
      <c r="Q14" s="44"/>
      <c r="R14" s="15"/>
      <c r="S14" s="8"/>
      <c r="T14" s="9">
        <v>1</v>
      </c>
      <c r="U14" s="33"/>
      <c r="V14" s="44"/>
      <c r="W14" s="15"/>
      <c r="X14" s="8">
        <v>1</v>
      </c>
      <c r="Y14" s="9">
        <v>1</v>
      </c>
      <c r="Z14" s="33"/>
      <c r="AA14" s="44"/>
      <c r="AB14" s="15"/>
      <c r="AC14" s="8"/>
      <c r="AD14" s="9">
        <v>1</v>
      </c>
      <c r="AE14" s="33"/>
      <c r="AF14" s="44"/>
      <c r="AG14" s="15"/>
      <c r="AH14" s="8"/>
      <c r="AI14" s="9">
        <v>1</v>
      </c>
      <c r="AJ14" s="33"/>
      <c r="AK14" s="44"/>
    </row>
    <row r="15" spans="1:37" ht="15.75" x14ac:dyDescent="0.25">
      <c r="A15" s="2"/>
      <c r="B15" s="56">
        <v>0.66666666666666696</v>
      </c>
      <c r="C15" s="56">
        <v>0.70833333333333304</v>
      </c>
      <c r="D15" s="8">
        <v>1</v>
      </c>
      <c r="E15" s="9">
        <v>1</v>
      </c>
      <c r="F15" s="42"/>
      <c r="G15" s="44"/>
      <c r="H15" s="15"/>
      <c r="I15" s="8">
        <v>1</v>
      </c>
      <c r="J15" s="9"/>
      <c r="K15" s="33"/>
      <c r="L15" s="44">
        <v>1</v>
      </c>
      <c r="M15" s="15"/>
      <c r="N15" s="8"/>
      <c r="O15" s="9">
        <v>1</v>
      </c>
      <c r="P15" s="33"/>
      <c r="Q15" s="44">
        <v>1</v>
      </c>
      <c r="R15" s="15"/>
      <c r="S15" s="8"/>
      <c r="T15" s="9">
        <v>1</v>
      </c>
      <c r="U15" s="33"/>
      <c r="V15" s="44"/>
      <c r="W15" s="15"/>
      <c r="X15" s="8">
        <v>1</v>
      </c>
      <c r="Y15" s="9">
        <v>1</v>
      </c>
      <c r="Z15" s="33"/>
      <c r="AA15" s="44"/>
      <c r="AB15" s="15"/>
      <c r="AC15" s="8">
        <v>1</v>
      </c>
      <c r="AD15" s="9">
        <v>1</v>
      </c>
      <c r="AE15" s="33"/>
      <c r="AF15" s="44"/>
      <c r="AG15" s="15"/>
      <c r="AH15" s="8">
        <v>1</v>
      </c>
      <c r="AI15" s="9">
        <v>1</v>
      </c>
      <c r="AJ15" s="33"/>
      <c r="AK15" s="44"/>
    </row>
    <row r="16" spans="1:37" ht="15.75" x14ac:dyDescent="0.25">
      <c r="B16" s="56">
        <v>0.70833333333333337</v>
      </c>
      <c r="C16" s="56">
        <v>0.75</v>
      </c>
      <c r="D16" s="8">
        <v>1</v>
      </c>
      <c r="E16" s="9">
        <v>1</v>
      </c>
      <c r="F16" s="42"/>
      <c r="G16" s="44"/>
      <c r="H16" s="15"/>
      <c r="I16" s="8">
        <v>1</v>
      </c>
      <c r="J16" s="9"/>
      <c r="K16" s="33">
        <v>0.5</v>
      </c>
      <c r="L16" s="44"/>
      <c r="M16" s="15"/>
      <c r="N16" s="8"/>
      <c r="O16" s="9">
        <v>1</v>
      </c>
      <c r="P16" s="33"/>
      <c r="Q16" s="44">
        <v>1</v>
      </c>
      <c r="R16" s="15"/>
      <c r="S16" s="8"/>
      <c r="T16" s="9">
        <v>1</v>
      </c>
      <c r="U16" s="33"/>
      <c r="V16" s="44"/>
      <c r="W16" s="15"/>
      <c r="X16" s="8">
        <v>1</v>
      </c>
      <c r="Y16" s="9">
        <v>1</v>
      </c>
      <c r="Z16" s="33"/>
      <c r="AA16" s="44"/>
      <c r="AB16" s="15"/>
      <c r="AC16" s="8">
        <v>1</v>
      </c>
      <c r="AD16" s="9">
        <v>1</v>
      </c>
      <c r="AE16" s="33"/>
      <c r="AF16" s="44"/>
      <c r="AG16" s="15"/>
      <c r="AH16" s="8">
        <v>1</v>
      </c>
      <c r="AI16" s="9">
        <v>1</v>
      </c>
      <c r="AJ16" s="33"/>
      <c r="AK16" s="44"/>
    </row>
    <row r="17" spans="1:37" ht="15.75" x14ac:dyDescent="0.25">
      <c r="A17" s="2"/>
      <c r="B17" s="56">
        <v>0.75</v>
      </c>
      <c r="C17" s="56">
        <v>0.79166666666666696</v>
      </c>
      <c r="D17" s="8"/>
      <c r="E17" s="9">
        <v>1</v>
      </c>
      <c r="F17" s="42">
        <v>1</v>
      </c>
      <c r="G17" s="44"/>
      <c r="H17" s="15"/>
      <c r="I17" s="8">
        <v>1</v>
      </c>
      <c r="J17" s="9"/>
      <c r="K17" s="33">
        <v>1</v>
      </c>
      <c r="L17" s="44"/>
      <c r="M17" s="15"/>
      <c r="N17" s="8"/>
      <c r="O17" s="9"/>
      <c r="P17" s="33">
        <v>1</v>
      </c>
      <c r="Q17" s="44">
        <v>1</v>
      </c>
      <c r="R17" s="15"/>
      <c r="S17" s="8">
        <v>1</v>
      </c>
      <c r="T17" s="9">
        <v>1</v>
      </c>
      <c r="U17" s="33"/>
      <c r="V17" s="44"/>
      <c r="W17" s="15"/>
      <c r="X17" s="8">
        <v>1</v>
      </c>
      <c r="Y17" s="9"/>
      <c r="Z17" s="33">
        <v>0.5</v>
      </c>
      <c r="AA17" s="44">
        <v>0.5</v>
      </c>
      <c r="AB17" s="15"/>
      <c r="AC17" s="8">
        <v>1</v>
      </c>
      <c r="AD17" s="9">
        <v>1</v>
      </c>
      <c r="AE17" s="33"/>
      <c r="AF17" s="44">
        <v>0.5</v>
      </c>
      <c r="AG17" s="15"/>
      <c r="AH17" s="8">
        <v>1</v>
      </c>
      <c r="AI17" s="9"/>
      <c r="AJ17" s="33">
        <v>0.5</v>
      </c>
      <c r="AK17" s="44">
        <v>0.5</v>
      </c>
    </row>
    <row r="18" spans="1:37" ht="15.75" x14ac:dyDescent="0.25">
      <c r="A18" s="2"/>
      <c r="B18" s="56">
        <v>0.79166666666666696</v>
      </c>
      <c r="C18" s="56">
        <v>0.83333333333333304</v>
      </c>
      <c r="D18" s="8"/>
      <c r="E18" s="9">
        <v>1</v>
      </c>
      <c r="F18" s="42">
        <v>1</v>
      </c>
      <c r="G18" s="44"/>
      <c r="H18" s="15"/>
      <c r="I18" s="8">
        <v>1</v>
      </c>
      <c r="J18" s="9"/>
      <c r="K18" s="33">
        <v>1</v>
      </c>
      <c r="L18" s="44"/>
      <c r="M18" s="15"/>
      <c r="N18" s="8"/>
      <c r="O18" s="9"/>
      <c r="P18" s="33">
        <v>1</v>
      </c>
      <c r="Q18" s="44">
        <v>1</v>
      </c>
      <c r="R18" s="15"/>
      <c r="S18" s="8">
        <v>1</v>
      </c>
      <c r="T18" s="9">
        <v>1</v>
      </c>
      <c r="U18" s="33"/>
      <c r="V18" s="44"/>
      <c r="W18" s="15"/>
      <c r="X18" s="8">
        <v>1</v>
      </c>
      <c r="Y18" s="9"/>
      <c r="Z18" s="33">
        <v>1</v>
      </c>
      <c r="AA18" s="44">
        <v>1</v>
      </c>
      <c r="AB18" s="15"/>
      <c r="AC18" s="8">
        <v>1</v>
      </c>
      <c r="AD18" s="9">
        <v>1</v>
      </c>
      <c r="AE18" s="33"/>
      <c r="AF18" s="44">
        <v>1</v>
      </c>
      <c r="AG18" s="15"/>
      <c r="AH18" s="8">
        <v>1</v>
      </c>
      <c r="AI18" s="9"/>
      <c r="AJ18" s="33">
        <v>1</v>
      </c>
      <c r="AK18" s="44">
        <v>1</v>
      </c>
    </row>
    <row r="19" spans="1:37" ht="15.75" x14ac:dyDescent="0.25">
      <c r="A19" s="2"/>
      <c r="B19" s="56">
        <v>0.83333333333333337</v>
      </c>
      <c r="C19" s="56">
        <v>0.875</v>
      </c>
      <c r="D19" s="8"/>
      <c r="E19" s="9">
        <v>1</v>
      </c>
      <c r="F19" s="42">
        <v>1</v>
      </c>
      <c r="G19" s="44"/>
      <c r="H19" s="15"/>
      <c r="I19" s="8">
        <v>1</v>
      </c>
      <c r="J19" s="9"/>
      <c r="K19" s="33">
        <v>1</v>
      </c>
      <c r="L19" s="44"/>
      <c r="M19" s="15"/>
      <c r="N19" s="8"/>
      <c r="O19" s="9"/>
      <c r="P19" s="33">
        <v>1</v>
      </c>
      <c r="Q19" s="44">
        <v>1</v>
      </c>
      <c r="R19" s="15"/>
      <c r="S19" s="8">
        <v>1</v>
      </c>
      <c r="T19" s="9">
        <v>1</v>
      </c>
      <c r="U19" s="33"/>
      <c r="V19" s="44"/>
      <c r="W19" s="15"/>
      <c r="X19" s="8">
        <v>1</v>
      </c>
      <c r="Y19" s="9"/>
      <c r="Z19" s="33">
        <v>1</v>
      </c>
      <c r="AA19" s="44">
        <v>1</v>
      </c>
      <c r="AB19" s="15"/>
      <c r="AC19" s="8">
        <v>1</v>
      </c>
      <c r="AD19" s="9">
        <v>1</v>
      </c>
      <c r="AE19" s="33"/>
      <c r="AF19" s="44">
        <v>1</v>
      </c>
      <c r="AG19" s="15"/>
      <c r="AH19" s="8">
        <v>1</v>
      </c>
      <c r="AI19" s="9"/>
      <c r="AJ19" s="33">
        <v>1</v>
      </c>
      <c r="AK19" s="44">
        <v>1</v>
      </c>
    </row>
    <row r="20" spans="1:37" ht="15.75" x14ac:dyDescent="0.25">
      <c r="A20" s="2"/>
      <c r="B20" s="56">
        <v>0.875</v>
      </c>
      <c r="C20" s="56">
        <v>0.91666666666666696</v>
      </c>
      <c r="D20" s="39"/>
      <c r="E20" s="9">
        <v>1</v>
      </c>
      <c r="F20" s="42">
        <v>1</v>
      </c>
      <c r="G20" s="44"/>
      <c r="H20" s="15"/>
      <c r="I20" s="8">
        <v>1</v>
      </c>
      <c r="J20" s="9"/>
      <c r="K20" s="33">
        <v>1</v>
      </c>
      <c r="L20" s="44"/>
      <c r="M20" s="15"/>
      <c r="N20" s="8"/>
      <c r="O20" s="9"/>
      <c r="P20" s="33">
        <v>1</v>
      </c>
      <c r="Q20" s="44">
        <v>1</v>
      </c>
      <c r="R20" s="15"/>
      <c r="S20" s="8">
        <v>1</v>
      </c>
      <c r="T20" s="9">
        <v>1</v>
      </c>
      <c r="U20" s="33"/>
      <c r="V20" s="44"/>
      <c r="W20" s="15"/>
      <c r="X20" s="8">
        <v>1</v>
      </c>
      <c r="Y20" s="9"/>
      <c r="Z20" s="33">
        <v>1</v>
      </c>
      <c r="AA20" s="44">
        <v>1</v>
      </c>
      <c r="AB20" s="15"/>
      <c r="AC20" s="8">
        <v>1</v>
      </c>
      <c r="AD20" s="9">
        <v>1</v>
      </c>
      <c r="AE20" s="33"/>
      <c r="AF20" s="44">
        <v>1</v>
      </c>
      <c r="AG20" s="15"/>
      <c r="AH20" s="8">
        <v>1</v>
      </c>
      <c r="AI20" s="9"/>
      <c r="AJ20" s="33">
        <v>1</v>
      </c>
      <c r="AK20" s="44">
        <v>1</v>
      </c>
    </row>
    <row r="21" spans="1:37" ht="15.75" x14ac:dyDescent="0.25">
      <c r="A21" s="2"/>
      <c r="B21" s="56">
        <v>0.91666666666666663</v>
      </c>
      <c r="C21" s="56">
        <v>0.95833333333333337</v>
      </c>
      <c r="D21" s="37"/>
      <c r="E21" s="38"/>
      <c r="F21" s="30"/>
      <c r="G21" s="45"/>
      <c r="H21" s="15"/>
      <c r="I21" s="37"/>
      <c r="J21" s="38"/>
      <c r="K21" s="30"/>
      <c r="L21" s="45"/>
      <c r="M21" s="15"/>
      <c r="N21" s="37"/>
      <c r="O21" s="38"/>
      <c r="P21" s="30"/>
      <c r="Q21" s="45"/>
      <c r="R21" s="15"/>
      <c r="S21" s="37"/>
      <c r="T21" s="38"/>
      <c r="U21" s="30"/>
      <c r="V21" s="45"/>
      <c r="W21" s="15"/>
      <c r="X21" s="37"/>
      <c r="Y21" s="38"/>
      <c r="Z21" s="30"/>
      <c r="AA21" s="45"/>
      <c r="AB21" s="15"/>
      <c r="AC21" s="37"/>
      <c r="AD21" s="38"/>
      <c r="AE21" s="30"/>
      <c r="AF21" s="45"/>
      <c r="AG21" s="15"/>
      <c r="AH21" s="37"/>
      <c r="AI21" s="38"/>
      <c r="AJ21" s="30"/>
      <c r="AK21" s="45"/>
    </row>
    <row r="22" spans="1:37" ht="15.75" x14ac:dyDescent="0.25">
      <c r="A22" s="2"/>
      <c r="B22" s="53"/>
      <c r="C22" s="53"/>
    </row>
    <row r="23" spans="1:37" customFormat="1" ht="15.75" x14ac:dyDescent="0.25">
      <c r="A23" s="11"/>
      <c r="B23" s="57"/>
      <c r="C23" s="57"/>
      <c r="D23" s="75"/>
      <c r="E23" s="75"/>
      <c r="F23" s="75"/>
      <c r="G23" s="43"/>
      <c r="I23" s="75"/>
      <c r="J23" s="75"/>
      <c r="K23" s="27"/>
      <c r="L23" s="35"/>
      <c r="N23" s="75"/>
      <c r="O23" s="75"/>
      <c r="P23" s="27"/>
      <c r="Q23" s="35"/>
      <c r="S23" s="75"/>
      <c r="T23" s="75"/>
      <c r="U23" s="27"/>
      <c r="V23" s="35"/>
      <c r="X23" s="75"/>
      <c r="Y23" s="75"/>
      <c r="Z23" s="27"/>
      <c r="AA23" s="35"/>
      <c r="AC23" s="75"/>
      <c r="AD23" s="75"/>
      <c r="AE23" s="27"/>
      <c r="AF23" s="35"/>
      <c r="AH23" s="75"/>
      <c r="AI23" s="75"/>
      <c r="AJ23" s="27"/>
      <c r="AK23" s="35"/>
    </row>
    <row r="24" spans="1:37" s="58" customFormat="1" ht="23.25" customHeight="1" x14ac:dyDescent="0.25">
      <c r="A24" s="60"/>
      <c r="C24" s="59" t="s">
        <v>4</v>
      </c>
      <c r="D24" s="61">
        <f>SUM(D7:D21)</f>
        <v>8</v>
      </c>
      <c r="E24" s="62">
        <f>SUM(E7:E20)</f>
        <v>9</v>
      </c>
      <c r="F24" s="63">
        <f>SUM(F7:F20)</f>
        <v>4</v>
      </c>
      <c r="G24" s="64">
        <f>SUM(G7:G21)</f>
        <v>0</v>
      </c>
      <c r="H24" s="65"/>
      <c r="I24" s="61">
        <f>SUM(I7:I20)</f>
        <v>8</v>
      </c>
      <c r="J24" s="62">
        <f>SUM(J7:J20)</f>
        <v>0</v>
      </c>
      <c r="K24" s="66">
        <f>SUM(K7:K20)</f>
        <v>4.5</v>
      </c>
      <c r="L24" s="64">
        <f>SUM(L7:L21)</f>
        <v>7</v>
      </c>
      <c r="M24" s="65"/>
      <c r="N24" s="61">
        <f>SUM(N7:N20)</f>
        <v>0</v>
      </c>
      <c r="O24" s="62">
        <f>SUM(O7:O20)</f>
        <v>8</v>
      </c>
      <c r="P24" s="66">
        <f>SUM(P7:P20)</f>
        <v>4</v>
      </c>
      <c r="Q24" s="64">
        <f>SUM(Q7:Q21)</f>
        <v>6.5</v>
      </c>
      <c r="R24" s="65"/>
      <c r="S24" s="61">
        <f>SUM(S7:S20)</f>
        <v>8</v>
      </c>
      <c r="T24" s="62">
        <f>SUM(T7:T20)</f>
        <v>10</v>
      </c>
      <c r="U24" s="66">
        <f>SUM(U7:U20)</f>
        <v>0</v>
      </c>
      <c r="V24" s="64">
        <f>SUM(V7:V21)</f>
        <v>0</v>
      </c>
      <c r="W24" s="65"/>
      <c r="X24" s="61">
        <f>SUM(X7:X21)</f>
        <v>10.5</v>
      </c>
      <c r="Y24" s="62">
        <f>SUM(Y7:Y21)</f>
        <v>8</v>
      </c>
      <c r="Z24" s="66">
        <f>SUM(Z7:Z21)</f>
        <v>3.5</v>
      </c>
      <c r="AA24" s="64">
        <f>SUM(AA7:AA21)</f>
        <v>3.5</v>
      </c>
      <c r="AB24" s="65"/>
      <c r="AC24" s="61">
        <f>SUM(AC7:AC21)</f>
        <v>8.5</v>
      </c>
      <c r="AD24" s="62">
        <f>SUM(AD7:AD21)</f>
        <v>8</v>
      </c>
      <c r="AE24" s="66">
        <f>SUM(AE7:AE21)</f>
        <v>4</v>
      </c>
      <c r="AF24" s="64">
        <f>SUM(AF7:AF20)</f>
        <v>3.5</v>
      </c>
      <c r="AG24" s="65"/>
      <c r="AH24" s="61">
        <f>SUM(AH7:AH21)</f>
        <v>7</v>
      </c>
      <c r="AI24" s="62">
        <f>SUM(AI7:AI21)</f>
        <v>8</v>
      </c>
      <c r="AJ24" s="66">
        <f>SUM(AJ7:AJ21)</f>
        <v>3.5</v>
      </c>
      <c r="AK24" s="64">
        <f>SUM(AK7:AK21)</f>
        <v>3.5</v>
      </c>
    </row>
    <row r="25" spans="1:37" ht="31.5" customHeight="1" x14ac:dyDescent="0.25">
      <c r="A25" s="2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10"/>
      <c r="AJ25" s="10"/>
      <c r="AK25" s="10"/>
    </row>
    <row r="26" spans="1:37" x14ac:dyDescent="0.25">
      <c r="A26" s="2"/>
      <c r="B26" s="24" t="s">
        <v>3</v>
      </c>
      <c r="C26" s="24"/>
      <c r="D26" s="76" t="s">
        <v>10</v>
      </c>
      <c r="E26" s="76"/>
      <c r="F26" s="25"/>
      <c r="G26" s="28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</row>
    <row r="27" spans="1:37" s="22" customFormat="1" ht="21" x14ac:dyDescent="0.35">
      <c r="A27" s="18"/>
      <c r="B27" s="47" t="s">
        <v>8</v>
      </c>
      <c r="C27" s="47"/>
      <c r="D27" s="74" t="s">
        <v>14</v>
      </c>
      <c r="E27" s="74"/>
      <c r="F27" s="19">
        <f>D24+I24+N24+S24+X24+AC24+AH24</f>
        <v>50</v>
      </c>
      <c r="G27" s="29">
        <f>F27-48</f>
        <v>2</v>
      </c>
      <c r="H27" s="23" t="s">
        <v>11</v>
      </c>
      <c r="J27" s="20"/>
      <c r="K27" s="40"/>
      <c r="L27" s="40"/>
      <c r="M27" s="67"/>
      <c r="N27" s="73"/>
      <c r="O27" s="68"/>
      <c r="P27" s="69"/>
      <c r="Q27" s="69"/>
      <c r="R27" s="70"/>
      <c r="S27" s="68"/>
      <c r="T27" s="68"/>
      <c r="U27" s="68"/>
      <c r="V27" s="68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</row>
    <row r="28" spans="1:37" s="22" customFormat="1" ht="18.75" x14ac:dyDescent="0.3">
      <c r="A28" s="18"/>
      <c r="B28" s="48" t="s">
        <v>9</v>
      </c>
      <c r="C28" s="48"/>
      <c r="D28" s="74" t="s">
        <v>17</v>
      </c>
      <c r="E28" s="74"/>
      <c r="F28" s="19">
        <f>E24+J24+O24+T24+Y24+AD24+AI24</f>
        <v>51</v>
      </c>
      <c r="G28" s="29"/>
      <c r="H28" s="23" t="s">
        <v>11</v>
      </c>
      <c r="J28" s="20"/>
      <c r="M28" s="71"/>
      <c r="N28" s="70"/>
      <c r="O28" s="70"/>
      <c r="P28" s="69"/>
      <c r="Q28" s="69"/>
      <c r="R28" s="69"/>
      <c r="S28" s="68"/>
      <c r="T28" s="68"/>
      <c r="U28" s="68"/>
      <c r="V28" s="68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</row>
    <row r="29" spans="1:37" s="22" customFormat="1" ht="18.75" x14ac:dyDescent="0.3">
      <c r="B29" s="49" t="s">
        <v>16</v>
      </c>
      <c r="C29" s="49"/>
      <c r="D29" s="74" t="s">
        <v>15</v>
      </c>
      <c r="E29" s="74"/>
      <c r="F29" s="19">
        <f>F24+K24+P24+U24+Z24+AE24+AJ24</f>
        <v>23.5</v>
      </c>
      <c r="G29" s="29"/>
      <c r="H29" s="23" t="s">
        <v>11</v>
      </c>
      <c r="J29" s="20"/>
      <c r="K29" s="40"/>
      <c r="L29" s="40"/>
      <c r="M29" s="68"/>
      <c r="N29" s="68"/>
      <c r="O29" s="68"/>
      <c r="P29" s="70"/>
      <c r="Q29" s="70"/>
      <c r="R29" s="70"/>
      <c r="S29" s="68"/>
      <c r="T29" s="68"/>
      <c r="U29" s="68"/>
      <c r="V29" s="68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</row>
    <row r="30" spans="1:37" ht="18.75" x14ac:dyDescent="0.3">
      <c r="B30" s="50" t="s">
        <v>19</v>
      </c>
      <c r="C30" s="50"/>
      <c r="D30" s="74" t="s">
        <v>22</v>
      </c>
      <c r="E30" s="74"/>
      <c r="F30" s="19">
        <f>G24+L24+Q24+V24+AA24+AF24+AK24</f>
        <v>24</v>
      </c>
      <c r="G30" s="29"/>
      <c r="H30" s="23" t="s">
        <v>11</v>
      </c>
      <c r="M30" s="72"/>
      <c r="N30" s="72"/>
      <c r="O30" s="72"/>
      <c r="P30" s="72"/>
      <c r="Q30" s="72"/>
      <c r="R30" s="72"/>
      <c r="S30" s="72"/>
      <c r="T30" s="72"/>
      <c r="U30" s="72"/>
      <c r="V30" s="72"/>
    </row>
    <row r="34" spans="14:14" x14ac:dyDescent="0.25">
      <c r="N34" s="4" t="s">
        <v>21</v>
      </c>
    </row>
  </sheetData>
  <sheetProtection selectLockedCells="1"/>
  <mergeCells count="12">
    <mergeCell ref="AH23:AI23"/>
    <mergeCell ref="D26:E26"/>
    <mergeCell ref="D27:E27"/>
    <mergeCell ref="D28:E28"/>
    <mergeCell ref="D29:E29"/>
    <mergeCell ref="D30:E30"/>
    <mergeCell ref="D23:F23"/>
    <mergeCell ref="I23:J23"/>
    <mergeCell ref="N23:O23"/>
    <mergeCell ref="S23:T23"/>
    <mergeCell ref="X23:Y23"/>
    <mergeCell ref="AC23:AD23"/>
  </mergeCells>
  <conditionalFormatting sqref="X7:Y21 N7:O21 S7:T21 I7:J21 AH7:AI21 AC7:AD21 D7:G21 Z9:Z11">
    <cfRule type="expression" dxfId="21" priority="22">
      <formula>IF(OR(D7=0,D7=""),TRUE(),FALSE())</formula>
    </cfRule>
  </conditionalFormatting>
  <conditionalFormatting sqref="AE9:AE11">
    <cfRule type="expression" dxfId="20" priority="21">
      <formula>IF(OR(AE9=0,AE9=""),TRUE(),FALSE())</formula>
    </cfRule>
  </conditionalFormatting>
  <conditionalFormatting sqref="AJ9:AJ11">
    <cfRule type="expression" dxfId="19" priority="20">
      <formula>IF(OR(AJ9=0,AJ9=""),TRUE(),FALSE())</formula>
    </cfRule>
  </conditionalFormatting>
  <conditionalFormatting sqref="K7:K11">
    <cfRule type="expression" dxfId="18" priority="19">
      <formula>IF(OR(K7=0,K7=""),TRUE(),FALSE())</formula>
    </cfRule>
  </conditionalFormatting>
  <conditionalFormatting sqref="P9:P21">
    <cfRule type="expression" dxfId="17" priority="18">
      <formula>IF(OR(P9=0,P9=""),TRUE(),FALSE())</formula>
    </cfRule>
  </conditionalFormatting>
  <conditionalFormatting sqref="U9:U11">
    <cfRule type="expression" dxfId="16" priority="17">
      <formula>IF(OR(U9=0,U9=""),TRUE(),FALSE())</formula>
    </cfRule>
  </conditionalFormatting>
  <conditionalFormatting sqref="K12:K21">
    <cfRule type="expression" dxfId="15" priority="16">
      <formula>IF(OR(K12=0,K12=""),TRUE(),FALSE())</formula>
    </cfRule>
  </conditionalFormatting>
  <conditionalFormatting sqref="U12:U21">
    <cfRule type="expression" dxfId="14" priority="15">
      <formula>IF(OR(U12=0,U12=""),TRUE(),FALSE())</formula>
    </cfRule>
  </conditionalFormatting>
  <conditionalFormatting sqref="Z12:Z21">
    <cfRule type="expression" dxfId="13" priority="14">
      <formula>IF(OR(Z12=0,Z12=""),TRUE(),FALSE())</formula>
    </cfRule>
  </conditionalFormatting>
  <conditionalFormatting sqref="AE12:AE21">
    <cfRule type="expression" dxfId="12" priority="13">
      <formula>IF(OR(AE12=0,AE12=""),TRUE(),FALSE())</formula>
    </cfRule>
  </conditionalFormatting>
  <conditionalFormatting sqref="AJ12:AJ21">
    <cfRule type="expression" dxfId="11" priority="12">
      <formula>IF(OR(AJ12=0,AJ12=""),TRUE(),FALSE())</formula>
    </cfRule>
  </conditionalFormatting>
  <conditionalFormatting sqref="P7:P8">
    <cfRule type="expression" dxfId="10" priority="11">
      <formula>IF(OR(P7=0,P7=""),TRUE(),FALSE())</formula>
    </cfRule>
  </conditionalFormatting>
  <conditionalFormatting sqref="U7:U8">
    <cfRule type="expression" dxfId="9" priority="10">
      <formula>IF(OR(U7=0,U7=""),TRUE(),FALSE())</formula>
    </cfRule>
  </conditionalFormatting>
  <conditionalFormatting sqref="Z7:Z8">
    <cfRule type="expression" dxfId="8" priority="9">
      <formula>IF(OR(Z7=0,Z7=""),TRUE(),FALSE())</formula>
    </cfRule>
  </conditionalFormatting>
  <conditionalFormatting sqref="AE7:AE8">
    <cfRule type="expression" dxfId="7" priority="8">
      <formula>IF(OR(AE7=0,AE7=""),TRUE(),FALSE())</formula>
    </cfRule>
  </conditionalFormatting>
  <conditionalFormatting sqref="AJ7:AJ8">
    <cfRule type="expression" dxfId="6" priority="7">
      <formula>IF(OR(AJ7=0,AJ7=""),TRUE(),FALSE())</formula>
    </cfRule>
  </conditionalFormatting>
  <conditionalFormatting sqref="L7:L21">
    <cfRule type="expression" dxfId="5" priority="6">
      <formula>IF(OR(L7=0,L7=""),TRUE(),FALSE())</formula>
    </cfRule>
  </conditionalFormatting>
  <conditionalFormatting sqref="V7:V21">
    <cfRule type="expression" dxfId="4" priority="5">
      <formula>IF(OR(V7=0,V7=""),TRUE(),FALSE())</formula>
    </cfRule>
  </conditionalFormatting>
  <conditionalFormatting sqref="AA7:AA21">
    <cfRule type="expression" dxfId="3" priority="4">
      <formula>IF(OR(AA7=0,AA7=""),TRUE(),FALSE())</formula>
    </cfRule>
  </conditionalFormatting>
  <conditionalFormatting sqref="AF7:AF21">
    <cfRule type="expression" dxfId="2" priority="3">
      <formula>IF(OR(AF7=0,AF7=""),TRUE(),FALSE())</formula>
    </cfRule>
  </conditionalFormatting>
  <conditionalFormatting sqref="AK7:AK21">
    <cfRule type="expression" dxfId="1" priority="2">
      <formula>IF(OR(AK7=0,AK7=""),TRUE(),FALSE())</formula>
    </cfRule>
  </conditionalFormatting>
  <conditionalFormatting sqref="Q7:Q21">
    <cfRule type="expression" dxfId="0" priority="1">
      <formula>IF(OR(Q7=0,Q7=""),TRUE(),FALSE())</formula>
    </cfRule>
  </conditionalFormatting>
  <dataValidations count="1">
    <dataValidation type="list" allowBlank="1" showInputMessage="1" showErrorMessage="1" sqref="Z9:AA21 N7:O21 AH7:AI21 I7:J21 K12:L21 AJ12:AK21 U9:V21 AE12:AF21 S7:T21 X7:Y21 AC7:AD21 D7:G21" xr:uid="{3EB11994-9EE0-4B15-BC7A-849F9ED2FFE9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31 de agosto al 06 de septiembr</vt:lpstr>
      <vt:lpstr>07 al 13 de septiembre </vt:lpstr>
      <vt:lpstr>07 al 13 de septiembre 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RRHH BISSÚ</dc:creator>
  <cp:lastModifiedBy>Sistema</cp:lastModifiedBy>
  <dcterms:created xsi:type="dcterms:W3CDTF">2026-02-03T21:33:23Z</dcterms:created>
  <dcterms:modified xsi:type="dcterms:W3CDTF">2026-09-07T01:33:36Z</dcterms:modified>
</cp:coreProperties>
</file>