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RHH\Downloads\"/>
    </mc:Choice>
  </mc:AlternateContent>
  <xr:revisionPtr revIDLastSave="0" documentId="8_{13338CC6-C613-43A2-ABFF-0534B6478C78}" xr6:coauthVersionLast="47" xr6:coauthVersionMax="47" xr10:uidLastSave="{00000000-0000-0000-0000-000000000000}"/>
  <bookViews>
    <workbookView xWindow="-120" yWindow="-120" windowWidth="29040" windowHeight="15720" xr2:uid="{83554E15-00A8-4B7F-A5D4-961714D02CC8}"/>
  </bookViews>
  <sheets>
    <sheet name="03 AL 09 AGOSTO 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9" i="1" l="1"/>
  <c r="M35" i="1"/>
  <c r="L35" i="1"/>
  <c r="K35" i="1"/>
  <c r="J35" i="1"/>
  <c r="I35" i="1"/>
  <c r="H35" i="1"/>
  <c r="G35" i="1"/>
  <c r="F35" i="1"/>
  <c r="E35" i="1"/>
  <c r="D35" i="1"/>
  <c r="CA34" i="1"/>
  <c r="BZ34" i="1"/>
  <c r="BY34" i="1"/>
  <c r="BX34" i="1"/>
  <c r="BW34" i="1"/>
  <c r="BV34" i="1"/>
  <c r="BU34" i="1"/>
  <c r="BT34" i="1"/>
  <c r="BS34" i="1"/>
  <c r="BR34" i="1"/>
  <c r="BP34" i="1"/>
  <c r="BO34" i="1"/>
  <c r="BN34" i="1"/>
  <c r="BM34" i="1"/>
  <c r="BL34" i="1"/>
  <c r="BK34" i="1"/>
  <c r="BJ34" i="1"/>
  <c r="BI34" i="1"/>
  <c r="BH34" i="1"/>
  <c r="BG34" i="1"/>
  <c r="BE34" i="1"/>
  <c r="BD34" i="1"/>
  <c r="BC34" i="1"/>
  <c r="BB34" i="1"/>
  <c r="BA34" i="1"/>
  <c r="AZ34" i="1"/>
  <c r="AY34" i="1"/>
  <c r="AX34" i="1"/>
  <c r="AW34" i="1"/>
  <c r="AV34" i="1"/>
  <c r="AT34" i="1"/>
  <c r="AS34" i="1"/>
  <c r="AR34" i="1"/>
  <c r="AQ34" i="1"/>
  <c r="AP34" i="1"/>
  <c r="AO34" i="1"/>
  <c r="AN34" i="1"/>
  <c r="AM34" i="1"/>
  <c r="AL34" i="1"/>
  <c r="AK34" i="1"/>
  <c r="AI34" i="1"/>
  <c r="AH34" i="1"/>
  <c r="AG34" i="1"/>
  <c r="AF34" i="1"/>
  <c r="AE34" i="1"/>
  <c r="AD34" i="1"/>
  <c r="AC34" i="1"/>
  <c r="AB34" i="1"/>
  <c r="AA34" i="1"/>
  <c r="Z34" i="1"/>
  <c r="X34" i="1"/>
  <c r="W34" i="1"/>
  <c r="V34" i="1"/>
  <c r="K46" i="1" s="1"/>
  <c r="U34" i="1"/>
  <c r="T34" i="1"/>
  <c r="S34" i="1"/>
  <c r="R34" i="1"/>
  <c r="Q34" i="1"/>
  <c r="K41" i="1" s="1"/>
  <c r="O41" i="1" s="1"/>
  <c r="P34" i="1"/>
  <c r="O34" i="1"/>
  <c r="M34" i="1"/>
  <c r="K48" i="1" s="1"/>
  <c r="L34" i="1"/>
  <c r="K47" i="1" s="1"/>
  <c r="K34" i="1"/>
  <c r="J34" i="1"/>
  <c r="K45" i="1" s="1"/>
  <c r="I34" i="1"/>
  <c r="K44" i="1" s="1"/>
  <c r="H34" i="1"/>
  <c r="K43" i="1" s="1"/>
  <c r="G34" i="1"/>
  <c r="K42" i="1" s="1"/>
  <c r="F34" i="1"/>
  <c r="E34" i="1"/>
  <c r="K40" i="1" s="1"/>
  <c r="D34" i="1"/>
  <c r="K39" i="1" s="1"/>
  <c r="CA33" i="1"/>
  <c r="BZ33" i="1"/>
  <c r="BY33" i="1"/>
  <c r="BX33" i="1"/>
  <c r="BW33" i="1"/>
  <c r="BV33" i="1"/>
  <c r="BU33" i="1"/>
  <c r="BT33" i="1"/>
  <c r="BS33" i="1"/>
  <c r="BR33" i="1"/>
  <c r="BP33" i="1"/>
  <c r="BO33" i="1"/>
  <c r="BN33" i="1"/>
  <c r="BM33" i="1"/>
  <c r="BL33" i="1"/>
  <c r="BK33" i="1"/>
  <c r="BJ33" i="1"/>
  <c r="BI33" i="1"/>
  <c r="BH33" i="1"/>
  <c r="BG33" i="1"/>
  <c r="BE33" i="1"/>
  <c r="BD33" i="1"/>
  <c r="BC33" i="1"/>
  <c r="BB33" i="1"/>
  <c r="BA33" i="1"/>
  <c r="AZ33" i="1"/>
  <c r="AY33" i="1"/>
  <c r="AX33" i="1"/>
  <c r="AW33" i="1"/>
  <c r="AV33" i="1"/>
  <c r="AT33" i="1"/>
  <c r="AS33" i="1"/>
  <c r="AR33" i="1"/>
  <c r="AQ33" i="1"/>
  <c r="AP33" i="1"/>
  <c r="AO33" i="1"/>
  <c r="AN33" i="1"/>
  <c r="AM33" i="1"/>
  <c r="AL33" i="1"/>
  <c r="AK33" i="1"/>
  <c r="AI33" i="1"/>
  <c r="AH33" i="1"/>
  <c r="AG33" i="1"/>
  <c r="AF33" i="1"/>
  <c r="AE33" i="1"/>
  <c r="AD33" i="1"/>
  <c r="AC33" i="1"/>
  <c r="AB33" i="1"/>
  <c r="AA33" i="1"/>
  <c r="Z33" i="1"/>
  <c r="X33" i="1"/>
  <c r="W33" i="1"/>
  <c r="V33" i="1"/>
  <c r="U33" i="1"/>
  <c r="T33" i="1"/>
  <c r="S33" i="1"/>
  <c r="R33" i="1"/>
  <c r="Q33" i="1"/>
  <c r="P33" i="1"/>
  <c r="O33" i="1"/>
  <c r="M33" i="1"/>
  <c r="L33" i="1"/>
  <c r="K33" i="1"/>
  <c r="J33" i="1"/>
  <c r="I33" i="1"/>
  <c r="H33" i="1"/>
  <c r="G33" i="1"/>
  <c r="F33" i="1"/>
  <c r="E33" i="1"/>
  <c r="D33" i="1"/>
  <c r="BR32" i="1"/>
  <c r="BG32" i="1"/>
  <c r="AV32" i="1"/>
  <c r="AK32" i="1"/>
  <c r="Z32" i="1"/>
  <c r="O32" i="1"/>
  <c r="D32" i="1"/>
  <c r="BR5" i="1"/>
  <c r="BG5" i="1"/>
  <c r="AV5" i="1"/>
  <c r="AK5" i="1"/>
  <c r="Z5" i="1"/>
  <c r="O5" i="1"/>
  <c r="D5" i="1"/>
  <c r="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STEFANNY</author>
    <author>MNINA</author>
  </authors>
  <commentList>
    <comment ref="AM20" authorId="0" shapeId="0" xr:uid="{2DB17B9E-2E9E-49DD-A1CF-3644FA9ADBEB}">
      <text>
        <r>
          <rPr>
            <b/>
            <sz val="9"/>
            <color indexed="81"/>
            <rFont val="Tahoma"/>
            <family val="2"/>
          </rPr>
          <t>STEFANNY:</t>
        </r>
        <r>
          <rPr>
            <sz val="9"/>
            <color indexed="81"/>
            <rFont val="Tahoma"/>
            <family val="2"/>
          </rPr>
          <t xml:space="preserve">
8 H INASISTENCIA SIN JUSTIFICACION TESIS</t>
        </r>
      </text>
    </comment>
    <comment ref="AX21" authorId="0" shapeId="0" xr:uid="{9073829D-D196-4D7D-B48D-F7594D4A301E}">
      <text>
        <r>
          <rPr>
            <b/>
            <sz val="9"/>
            <color indexed="81"/>
            <rFont val="Tahoma"/>
            <family val="2"/>
          </rPr>
          <t>STEFANNY:</t>
        </r>
        <r>
          <rPr>
            <sz val="9"/>
            <color indexed="81"/>
            <rFont val="Tahoma"/>
            <family val="2"/>
          </rPr>
          <t xml:space="preserve">
7 H INASISTENCIA SIN JUSTIFICACION TESIS</t>
        </r>
      </text>
    </comment>
    <comment ref="AY26" authorId="1" shapeId="0" xr:uid="{98D805D0-6C75-4F66-A3C3-0A3ED423035B}">
      <text>
        <r>
          <rPr>
            <b/>
            <sz val="9"/>
            <color indexed="81"/>
            <rFont val="Tahoma"/>
            <family val="2"/>
          </rPr>
          <t>MNINA:</t>
        </r>
        <r>
          <rPr>
            <sz val="9"/>
            <color indexed="81"/>
            <rFont val="Tahoma"/>
            <family val="2"/>
          </rPr>
          <t xml:space="preserve">
3 H EXTRAS/PAGO FALTA DE PERSONAL</t>
        </r>
      </text>
    </comment>
  </commentList>
</comments>
</file>

<file path=xl/sharedStrings.xml><?xml version="1.0" encoding="utf-8"?>
<sst xmlns="http://schemas.openxmlformats.org/spreadsheetml/2006/main" count="49" uniqueCount="25">
  <si>
    <t>M &amp; B Vertical S.A.C.</t>
  </si>
  <si>
    <t>HORARIO DE TRABAJO</t>
  </si>
  <si>
    <t>Colocar Fecha Inicio Semana</t>
  </si>
  <si>
    <t>STEFANY</t>
  </si>
  <si>
    <t>ERIKA</t>
  </si>
  <si>
    <t>ALISSON</t>
  </si>
  <si>
    <t>FATIMA</t>
  </si>
  <si>
    <t>SEBASTIAN</t>
  </si>
  <si>
    <t xml:space="preserve">                                     </t>
  </si>
  <si>
    <t>Horas</t>
  </si>
  <si>
    <t>Horario (sistema)</t>
  </si>
  <si>
    <t>SOL</t>
  </si>
  <si>
    <t>NOMBRE</t>
  </si>
  <si>
    <t>HRS</t>
  </si>
  <si>
    <t>DESCANSO</t>
  </si>
  <si>
    <t>Descanso</t>
  </si>
  <si>
    <t>STEFANY GONZALES</t>
  </si>
  <si>
    <t>MIERCOLES</t>
  </si>
  <si>
    <t>ERIKA HUAMAN</t>
  </si>
  <si>
    <t>MARTES</t>
  </si>
  <si>
    <t>APOYO ICA 2</t>
  </si>
  <si>
    <t>ALISSON RAMOS</t>
  </si>
  <si>
    <t>LUNES</t>
  </si>
  <si>
    <t>FATIMA HUALLCA</t>
  </si>
  <si>
    <t>martes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</si>
</sst>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280A]General"/>
    <numFmt numFmtId="165" formatCode="0.0"/>
  </numFmts>
  <fonts count="2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b/>
      <sz val="18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name val="Calibri"/>
      <family val="2"/>
      <scheme val="minor"/>
    </font>
    <font>
      <sz val="11"/>
      <name val="Calibri"/>
      <family val="2"/>
      <scheme val="minor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8"/>
      <color rgb="FF000000"/>
      <name val="Calibri"/>
      <family val="2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i/>
      <sz val="8"/>
      <color theme="0"/>
      <name val="Calibri"/>
      <family val="2"/>
      <scheme val="minor"/>
    </font>
    <font>
      <i/>
      <sz val="9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8F8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E1233E"/>
        <bgColor indexed="64"/>
      </patternFill>
    </fill>
    <fill>
      <patternFill patternType="solid">
        <fgColor rgb="FFC0EFF8"/>
        <bgColor indexed="64"/>
      </patternFill>
    </fill>
    <fill>
      <patternFill patternType="solid">
        <fgColor rgb="FF90E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227ACB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4" fillId="0" borderId="0" applyBorder="0" applyProtection="0"/>
  </cellStyleXfs>
  <cellXfs count="126">
    <xf numFmtId="0" fontId="0" fillId="0" borderId="0" xfId="0"/>
    <xf numFmtId="0" fontId="3" fillId="0" borderId="0" xfId="0" applyFont="1" applyProtection="1">
      <protection locked="0"/>
    </xf>
    <xf numFmtId="164" fontId="4" fillId="0" borderId="0" xfId="1" applyProtection="1">
      <protection locked="0"/>
    </xf>
    <xf numFmtId="164" fontId="4" fillId="0" borderId="0" xfId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vertical="center"/>
      <protection locked="0"/>
    </xf>
    <xf numFmtId="164" fontId="5" fillId="0" borderId="0" xfId="1" applyFont="1" applyProtection="1">
      <protection locked="0"/>
    </xf>
    <xf numFmtId="164" fontId="6" fillId="2" borderId="0" xfId="0" applyNumberFormat="1" applyFont="1" applyFill="1" applyAlignment="1">
      <alignment horizontal="centerContinuous" vertical="center"/>
    </xf>
    <xf numFmtId="0" fontId="2" fillId="0" borderId="0" xfId="0" applyFont="1" applyProtection="1">
      <protection locked="0"/>
    </xf>
    <xf numFmtId="0" fontId="7" fillId="3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 applyProtection="1">
      <alignment horizontal="center" vertical="center"/>
      <protection locked="0"/>
    </xf>
    <xf numFmtId="0" fontId="8" fillId="2" borderId="2" xfId="0" applyFont="1" applyFill="1" applyBorder="1" applyAlignment="1">
      <alignment horizontal="centerContinuous" vertical="center"/>
    </xf>
    <xf numFmtId="0" fontId="9" fillId="0" borderId="0" xfId="0" applyFont="1"/>
    <xf numFmtId="164" fontId="10" fillId="4" borderId="1" xfId="0" applyNumberFormat="1" applyFont="1" applyFill="1" applyBorder="1" applyAlignment="1" applyProtection="1">
      <alignment horizontal="center" vertical="center" textRotation="90" wrapText="1"/>
      <protection locked="0"/>
    </xf>
    <xf numFmtId="164" fontId="10" fillId="5" borderId="1" xfId="0" applyNumberFormat="1" applyFont="1" applyFill="1" applyBorder="1" applyAlignment="1" applyProtection="1">
      <alignment horizontal="center" vertical="center" textRotation="90" wrapText="1"/>
      <protection locked="0"/>
    </xf>
    <xf numFmtId="164" fontId="10" fillId="6" borderId="1" xfId="0" applyNumberFormat="1" applyFont="1" applyFill="1" applyBorder="1" applyAlignment="1" applyProtection="1">
      <alignment horizontal="center" vertical="center" textRotation="90" wrapText="1"/>
      <protection locked="0"/>
    </xf>
    <xf numFmtId="164" fontId="10" fillId="7" borderId="1" xfId="0" applyNumberFormat="1" applyFont="1" applyFill="1" applyBorder="1" applyAlignment="1" applyProtection="1">
      <alignment horizontal="center" vertical="center" textRotation="90" wrapText="1"/>
      <protection locked="0"/>
    </xf>
    <xf numFmtId="164" fontId="10" fillId="8" borderId="1" xfId="0" applyNumberFormat="1" applyFont="1" applyFill="1" applyBorder="1" applyAlignment="1" applyProtection="1">
      <alignment horizontal="center" vertical="center" textRotation="90" wrapText="1"/>
      <protection locked="0"/>
    </xf>
    <xf numFmtId="164" fontId="10" fillId="9" borderId="1" xfId="0" applyNumberFormat="1" applyFont="1" applyFill="1" applyBorder="1" applyAlignment="1" applyProtection="1">
      <alignment horizontal="center" vertical="center" textRotation="90" wrapText="1"/>
      <protection locked="0"/>
    </xf>
    <xf numFmtId="164" fontId="10" fillId="10" borderId="1" xfId="0" applyNumberFormat="1" applyFont="1" applyFill="1" applyBorder="1" applyAlignment="1" applyProtection="1">
      <alignment horizontal="center" vertical="center" textRotation="90" wrapText="1"/>
      <protection locked="0"/>
    </xf>
    <xf numFmtId="164" fontId="10" fillId="11" borderId="1" xfId="0" applyNumberFormat="1" applyFont="1" applyFill="1" applyBorder="1" applyAlignment="1" applyProtection="1">
      <alignment horizontal="center" vertical="center" textRotation="90" wrapText="1"/>
      <protection locked="0"/>
    </xf>
    <xf numFmtId="20" fontId="2" fillId="12" borderId="1" xfId="0" applyNumberFormat="1" applyFont="1" applyFill="1" applyBorder="1"/>
    <xf numFmtId="164" fontId="11" fillId="4" borderId="1" xfId="0" applyNumberFormat="1" applyFont="1" applyFill="1" applyBorder="1" applyAlignment="1" applyProtection="1">
      <alignment horizontal="center" vertical="center"/>
      <protection locked="0"/>
    </xf>
    <xf numFmtId="164" fontId="11" fillId="5" borderId="1" xfId="0" applyNumberFormat="1" applyFont="1" applyFill="1" applyBorder="1" applyAlignment="1" applyProtection="1">
      <alignment horizontal="center" vertical="center"/>
      <protection locked="0"/>
    </xf>
    <xf numFmtId="164" fontId="11" fillId="6" borderId="1" xfId="0" applyNumberFormat="1" applyFont="1" applyFill="1" applyBorder="1" applyAlignment="1" applyProtection="1">
      <alignment horizontal="center" vertical="center"/>
      <protection locked="0"/>
    </xf>
    <xf numFmtId="164" fontId="11" fillId="7" borderId="1" xfId="0" applyNumberFormat="1" applyFont="1" applyFill="1" applyBorder="1" applyAlignment="1" applyProtection="1">
      <alignment horizontal="center" vertical="center"/>
      <protection locked="0"/>
    </xf>
    <xf numFmtId="164" fontId="11" fillId="8" borderId="1" xfId="0" applyNumberFormat="1" applyFont="1" applyFill="1" applyBorder="1" applyAlignment="1" applyProtection="1">
      <alignment horizontal="center" vertical="center"/>
      <protection locked="0"/>
    </xf>
    <xf numFmtId="164" fontId="11" fillId="9" borderId="1" xfId="0" applyNumberFormat="1" applyFont="1" applyFill="1" applyBorder="1" applyAlignment="1" applyProtection="1">
      <alignment horizontal="center" vertical="center"/>
      <protection locked="0"/>
    </xf>
    <xf numFmtId="164" fontId="11" fillId="10" borderId="1" xfId="0" applyNumberFormat="1" applyFont="1" applyFill="1" applyBorder="1" applyAlignment="1" applyProtection="1">
      <alignment horizontal="center" vertical="center"/>
      <protection locked="0"/>
    </xf>
    <xf numFmtId="164" fontId="11" fillId="11" borderId="1" xfId="0" applyNumberFormat="1" applyFont="1" applyFill="1" applyBorder="1" applyAlignment="1" applyProtection="1">
      <alignment horizontal="center" vertical="center"/>
      <protection locked="0"/>
    </xf>
    <xf numFmtId="0" fontId="12" fillId="0" borderId="0" xfId="0" applyFont="1" applyProtection="1">
      <protection locked="0"/>
    </xf>
    <xf numFmtId="20" fontId="2" fillId="13" borderId="1" xfId="0" applyNumberFormat="1" applyFont="1" applyFill="1" applyBorder="1"/>
    <xf numFmtId="164" fontId="13" fillId="4" borderId="1" xfId="0" applyNumberFormat="1" applyFont="1" applyFill="1" applyBorder="1" applyAlignment="1" applyProtection="1">
      <alignment horizontal="center" vertical="center"/>
      <protection locked="0"/>
    </xf>
    <xf numFmtId="164" fontId="13" fillId="5" borderId="1" xfId="0" applyNumberFormat="1" applyFont="1" applyFill="1" applyBorder="1" applyAlignment="1" applyProtection="1">
      <alignment horizontal="center" vertical="center"/>
      <protection locked="0"/>
    </xf>
    <xf numFmtId="164" fontId="13" fillId="6" borderId="1" xfId="0" applyNumberFormat="1" applyFont="1" applyFill="1" applyBorder="1" applyAlignment="1" applyProtection="1">
      <alignment horizontal="center" vertical="center"/>
      <protection locked="0"/>
    </xf>
    <xf numFmtId="164" fontId="13" fillId="7" borderId="1" xfId="0" applyNumberFormat="1" applyFont="1" applyFill="1" applyBorder="1" applyAlignment="1" applyProtection="1">
      <alignment horizontal="center" vertical="center"/>
      <protection locked="0"/>
    </xf>
    <xf numFmtId="164" fontId="13" fillId="8" borderId="1" xfId="0" applyNumberFormat="1" applyFont="1" applyFill="1" applyBorder="1" applyAlignment="1" applyProtection="1">
      <alignment horizontal="center" vertical="center"/>
      <protection locked="0"/>
    </xf>
    <xf numFmtId="164" fontId="13" fillId="9" borderId="1" xfId="0" applyNumberFormat="1" applyFont="1" applyFill="1" applyBorder="1" applyAlignment="1" applyProtection="1">
      <alignment horizontal="center" vertical="center"/>
      <protection locked="0"/>
    </xf>
    <xf numFmtId="164" fontId="13" fillId="10" borderId="1" xfId="0" applyNumberFormat="1" applyFont="1" applyFill="1" applyBorder="1" applyAlignment="1" applyProtection="1">
      <alignment horizontal="center" vertical="center"/>
      <protection locked="0"/>
    </xf>
    <xf numFmtId="164" fontId="13" fillId="11" borderId="1" xfId="0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Protection="1">
      <protection locked="0"/>
    </xf>
    <xf numFmtId="0" fontId="14" fillId="14" borderId="0" xfId="0" applyFont="1" applyFill="1" applyProtection="1">
      <protection locked="0"/>
    </xf>
    <xf numFmtId="164" fontId="13" fillId="15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0" xfId="1" applyProtection="1"/>
    <xf numFmtId="0" fontId="1" fillId="2" borderId="2" xfId="0" applyFont="1" applyFill="1" applyBorder="1" applyAlignment="1">
      <alignment horizontal="center" vertical="center"/>
    </xf>
    <xf numFmtId="164" fontId="10" fillId="4" borderId="1" xfId="0" applyNumberFormat="1" applyFont="1" applyFill="1" applyBorder="1" applyAlignment="1">
      <alignment horizontal="center" vertical="center" textRotation="90" wrapText="1"/>
    </xf>
    <xf numFmtId="164" fontId="10" fillId="5" borderId="1" xfId="0" applyNumberFormat="1" applyFont="1" applyFill="1" applyBorder="1" applyAlignment="1">
      <alignment horizontal="center" vertical="center" textRotation="90" wrapText="1"/>
    </xf>
    <xf numFmtId="164" fontId="10" fillId="6" borderId="1" xfId="0" applyNumberFormat="1" applyFont="1" applyFill="1" applyBorder="1" applyAlignment="1">
      <alignment horizontal="center" vertical="center" textRotation="90" wrapText="1"/>
    </xf>
    <xf numFmtId="164" fontId="10" fillId="7" borderId="1" xfId="0" applyNumberFormat="1" applyFont="1" applyFill="1" applyBorder="1" applyAlignment="1">
      <alignment horizontal="center" vertical="center" textRotation="90" wrapText="1"/>
    </xf>
    <xf numFmtId="164" fontId="10" fillId="8" borderId="1" xfId="0" applyNumberFormat="1" applyFont="1" applyFill="1" applyBorder="1" applyAlignment="1">
      <alignment horizontal="center" vertical="center" textRotation="90" wrapText="1"/>
    </xf>
    <xf numFmtId="164" fontId="10" fillId="9" borderId="1" xfId="0" applyNumberFormat="1" applyFont="1" applyFill="1" applyBorder="1" applyAlignment="1">
      <alignment horizontal="center" vertical="center" textRotation="90" wrapText="1"/>
    </xf>
    <xf numFmtId="164" fontId="10" fillId="10" borderId="1" xfId="0" applyNumberFormat="1" applyFont="1" applyFill="1" applyBorder="1" applyAlignment="1">
      <alignment horizontal="center" vertical="center" textRotation="90" wrapText="1"/>
    </xf>
    <xf numFmtId="164" fontId="10" fillId="11" borderId="1" xfId="0" applyNumberFormat="1" applyFont="1" applyFill="1" applyBorder="1" applyAlignment="1">
      <alignment horizontal="center" vertical="center" textRotation="90" wrapText="1"/>
    </xf>
    <xf numFmtId="165" fontId="15" fillId="0" borderId="0" xfId="1" applyNumberFormat="1" applyFont="1" applyProtection="1"/>
    <xf numFmtId="165" fontId="16" fillId="0" borderId="0" xfId="0" applyNumberFormat="1" applyFont="1"/>
    <xf numFmtId="165" fontId="10" fillId="4" borderId="1" xfId="0" applyNumberFormat="1" applyFont="1" applyFill="1" applyBorder="1" applyAlignment="1">
      <alignment horizontal="center" vertical="center"/>
    </xf>
    <xf numFmtId="165" fontId="10" fillId="5" borderId="1" xfId="0" applyNumberFormat="1" applyFont="1" applyFill="1" applyBorder="1" applyAlignment="1">
      <alignment horizontal="center" vertical="center"/>
    </xf>
    <xf numFmtId="165" fontId="10" fillId="6" borderId="1" xfId="0" applyNumberFormat="1" applyFont="1" applyFill="1" applyBorder="1" applyAlignment="1">
      <alignment horizontal="center" vertical="center"/>
    </xf>
    <xf numFmtId="165" fontId="10" fillId="7" borderId="1" xfId="0" applyNumberFormat="1" applyFont="1" applyFill="1" applyBorder="1" applyAlignment="1">
      <alignment horizontal="center" vertical="center"/>
    </xf>
    <xf numFmtId="165" fontId="10" fillId="8" borderId="1" xfId="0" applyNumberFormat="1" applyFont="1" applyFill="1" applyBorder="1" applyAlignment="1">
      <alignment horizontal="center" vertical="center"/>
    </xf>
    <xf numFmtId="165" fontId="10" fillId="9" borderId="1" xfId="0" applyNumberFormat="1" applyFont="1" applyFill="1" applyBorder="1" applyAlignment="1">
      <alignment horizontal="center" vertical="center"/>
    </xf>
    <xf numFmtId="165" fontId="10" fillId="10" borderId="1" xfId="0" applyNumberFormat="1" applyFont="1" applyFill="1" applyBorder="1" applyAlignment="1">
      <alignment horizontal="center" vertical="center"/>
    </xf>
    <xf numFmtId="165" fontId="10" fillId="11" borderId="1" xfId="0" applyNumberFormat="1" applyFont="1" applyFill="1" applyBorder="1" applyAlignment="1">
      <alignment horizontal="center" vertical="center"/>
    </xf>
    <xf numFmtId="164" fontId="17" fillId="0" borderId="0" xfId="1" applyFont="1" applyProtection="1"/>
    <xf numFmtId="0" fontId="18" fillId="0" borderId="0" xfId="0" applyFont="1"/>
    <xf numFmtId="0" fontId="18" fillId="0" borderId="0" xfId="0" applyFont="1" applyAlignment="1">
      <alignment horizontal="left" vertical="center"/>
    </xf>
    <xf numFmtId="164" fontId="19" fillId="4" borderId="1" xfId="0" applyNumberFormat="1" applyFont="1" applyFill="1" applyBorder="1" applyAlignment="1">
      <alignment horizontal="center" vertical="center" wrapText="1"/>
    </xf>
    <xf numFmtId="164" fontId="19" fillId="5" borderId="1" xfId="0" applyNumberFormat="1" applyFont="1" applyFill="1" applyBorder="1" applyAlignment="1">
      <alignment horizontal="center" vertical="center" wrapText="1"/>
    </xf>
    <xf numFmtId="164" fontId="19" fillId="6" borderId="1" xfId="0" applyNumberFormat="1" applyFont="1" applyFill="1" applyBorder="1" applyAlignment="1">
      <alignment horizontal="center" vertical="center" wrapText="1"/>
    </xf>
    <xf numFmtId="164" fontId="19" fillId="7" borderId="1" xfId="0" applyNumberFormat="1" applyFont="1" applyFill="1" applyBorder="1" applyAlignment="1">
      <alignment horizontal="center" vertical="center" wrapText="1"/>
    </xf>
    <xf numFmtId="164" fontId="19" fillId="8" borderId="1" xfId="0" applyNumberFormat="1" applyFont="1" applyFill="1" applyBorder="1" applyAlignment="1">
      <alignment horizontal="center" vertical="center" wrapText="1"/>
    </xf>
    <xf numFmtId="164" fontId="19" fillId="9" borderId="1" xfId="0" applyNumberFormat="1" applyFont="1" applyFill="1" applyBorder="1" applyAlignment="1">
      <alignment horizontal="center" vertical="center" wrapText="1"/>
    </xf>
    <xf numFmtId="164" fontId="19" fillId="10" borderId="1" xfId="0" applyNumberFormat="1" applyFont="1" applyFill="1" applyBorder="1" applyAlignment="1">
      <alignment horizontal="center" vertical="center" wrapText="1"/>
    </xf>
    <xf numFmtId="164" fontId="19" fillId="11" borderId="1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16" borderId="0" xfId="0" applyFill="1" applyAlignment="1" applyProtection="1">
      <alignment horizontal="center" vertical="center"/>
      <protection locked="0"/>
    </xf>
    <xf numFmtId="0" fontId="20" fillId="2" borderId="3" xfId="0" applyFont="1" applyFill="1" applyBorder="1" applyProtection="1">
      <protection locked="0"/>
    </xf>
    <xf numFmtId="0" fontId="20" fillId="2" borderId="0" xfId="0" applyFont="1" applyFill="1" applyProtection="1">
      <protection locked="0"/>
    </xf>
    <xf numFmtId="0" fontId="20" fillId="2" borderId="4" xfId="0" applyFont="1" applyFill="1" applyBorder="1" applyProtection="1">
      <protection locked="0"/>
    </xf>
    <xf numFmtId="0" fontId="21" fillId="2" borderId="1" xfId="0" applyFont="1" applyFill="1" applyBorder="1" applyAlignment="1" applyProtection="1">
      <alignment horizontal="center" vertical="center"/>
      <protection locked="0"/>
    </xf>
    <xf numFmtId="0" fontId="22" fillId="2" borderId="5" xfId="0" applyFont="1" applyFill="1" applyBorder="1" applyAlignment="1" applyProtection="1">
      <alignment horizontal="centerContinuous" vertical="center"/>
      <protection locked="0"/>
    </xf>
    <xf numFmtId="0" fontId="20" fillId="2" borderId="6" xfId="0" applyFont="1" applyFill="1" applyBorder="1" applyAlignment="1" applyProtection="1">
      <alignment horizontal="centerContinuous" vertical="center"/>
      <protection locked="0"/>
    </xf>
    <xf numFmtId="0" fontId="20" fillId="2" borderId="0" xfId="0" applyFont="1" applyFill="1" applyAlignment="1" applyProtection="1">
      <alignment horizontal="centerContinuous" vertical="center"/>
      <protection locked="0"/>
    </xf>
    <xf numFmtId="164" fontId="11" fillId="4" borderId="7" xfId="0" applyNumberFormat="1" applyFont="1" applyFill="1" applyBorder="1" applyAlignment="1" applyProtection="1">
      <alignment horizontal="center" vertical="center"/>
      <protection locked="0"/>
    </xf>
    <xf numFmtId="164" fontId="11" fillId="4" borderId="8" xfId="0" applyNumberFormat="1" applyFont="1" applyFill="1" applyBorder="1" applyAlignment="1" applyProtection="1">
      <alignment horizontal="center" vertical="center"/>
      <protection locked="0"/>
    </xf>
    <xf numFmtId="164" fontId="11" fillId="4" borderId="9" xfId="0" applyNumberFormat="1" applyFont="1" applyFill="1" applyBorder="1" applyAlignment="1" applyProtection="1">
      <alignment horizontal="center" vertical="center"/>
      <protection locked="0"/>
    </xf>
    <xf numFmtId="165" fontId="11" fillId="4" borderId="1" xfId="0" applyNumberFormat="1" applyFont="1" applyFill="1" applyBorder="1" applyAlignment="1">
      <alignment horizontal="center" vertical="center"/>
    </xf>
    <xf numFmtId="164" fontId="7" fillId="0" borderId="1" xfId="0" applyNumberFormat="1" applyFont="1" applyBorder="1" applyAlignment="1" applyProtection="1">
      <alignment horizontal="center"/>
      <protection locked="0"/>
    </xf>
    <xf numFmtId="164" fontId="11" fillId="5" borderId="7" xfId="0" applyNumberFormat="1" applyFont="1" applyFill="1" applyBorder="1" applyAlignment="1" applyProtection="1">
      <alignment horizontal="center" vertical="center"/>
      <protection locked="0"/>
    </xf>
    <xf numFmtId="164" fontId="11" fillId="5" borderId="8" xfId="0" applyNumberFormat="1" applyFont="1" applyFill="1" applyBorder="1" applyAlignment="1" applyProtection="1">
      <alignment horizontal="center" vertical="center"/>
      <protection locked="0"/>
    </xf>
    <xf numFmtId="164" fontId="11" fillId="5" borderId="9" xfId="0" applyNumberFormat="1" applyFont="1" applyFill="1" applyBorder="1" applyAlignment="1" applyProtection="1">
      <alignment horizontal="center" vertical="center"/>
      <protection locked="0"/>
    </xf>
    <xf numFmtId="165" fontId="11" fillId="5" borderId="1" xfId="0" applyNumberFormat="1" applyFont="1" applyFill="1" applyBorder="1" applyAlignment="1">
      <alignment horizontal="center" vertical="center"/>
    </xf>
    <xf numFmtId="164" fontId="11" fillId="6" borderId="7" xfId="0" applyNumberFormat="1" applyFont="1" applyFill="1" applyBorder="1" applyAlignment="1" applyProtection="1">
      <alignment horizontal="center" vertical="center"/>
      <protection locked="0"/>
    </xf>
    <xf numFmtId="164" fontId="11" fillId="6" borderId="8" xfId="0" applyNumberFormat="1" applyFont="1" applyFill="1" applyBorder="1" applyAlignment="1" applyProtection="1">
      <alignment horizontal="center" vertical="center"/>
      <protection locked="0"/>
    </xf>
    <xf numFmtId="164" fontId="11" fillId="6" borderId="9" xfId="0" applyNumberFormat="1" applyFont="1" applyFill="1" applyBorder="1" applyAlignment="1" applyProtection="1">
      <alignment horizontal="center" vertical="center"/>
      <protection locked="0"/>
    </xf>
    <xf numFmtId="165" fontId="11" fillId="6" borderId="1" xfId="0" applyNumberFormat="1" applyFont="1" applyFill="1" applyBorder="1" applyAlignment="1">
      <alignment horizontal="center" vertical="center"/>
    </xf>
    <xf numFmtId="164" fontId="7" fillId="0" borderId="7" xfId="0" applyNumberFormat="1" applyFont="1" applyBorder="1" applyAlignment="1" applyProtection="1">
      <alignment horizontal="center"/>
      <protection locked="0"/>
    </xf>
    <xf numFmtId="164" fontId="7" fillId="0" borderId="8" xfId="0" applyNumberFormat="1" applyFont="1" applyBorder="1" applyAlignment="1" applyProtection="1">
      <alignment horizontal="center"/>
      <protection locked="0"/>
    </xf>
    <xf numFmtId="164" fontId="7" fillId="0" borderId="9" xfId="0" applyNumberFormat="1" applyFont="1" applyBorder="1" applyAlignment="1" applyProtection="1">
      <alignment horizontal="center"/>
      <protection locked="0"/>
    </xf>
    <xf numFmtId="165" fontId="0" fillId="0" borderId="0" xfId="0" applyNumberFormat="1"/>
    <xf numFmtId="164" fontId="11" fillId="7" borderId="7" xfId="0" applyNumberFormat="1" applyFont="1" applyFill="1" applyBorder="1" applyAlignment="1" applyProtection="1">
      <alignment horizontal="center" vertical="center"/>
      <protection locked="0"/>
    </xf>
    <xf numFmtId="164" fontId="11" fillId="7" borderId="8" xfId="0" applyNumberFormat="1" applyFont="1" applyFill="1" applyBorder="1" applyAlignment="1" applyProtection="1">
      <alignment horizontal="center" vertical="center"/>
      <protection locked="0"/>
    </xf>
    <xf numFmtId="164" fontId="11" fillId="7" borderId="9" xfId="0" applyNumberFormat="1" applyFont="1" applyFill="1" applyBorder="1" applyAlignment="1" applyProtection="1">
      <alignment horizontal="center" vertical="center"/>
      <protection locked="0"/>
    </xf>
    <xf numFmtId="165" fontId="11" fillId="7" borderId="1" xfId="0" applyNumberFormat="1" applyFont="1" applyFill="1" applyBorder="1" applyAlignment="1">
      <alignment horizontal="center" vertical="center"/>
    </xf>
    <xf numFmtId="164" fontId="11" fillId="8" borderId="7" xfId="0" applyNumberFormat="1" applyFont="1" applyFill="1" applyBorder="1" applyAlignment="1" applyProtection="1">
      <alignment horizontal="center" vertical="center"/>
      <protection locked="0"/>
    </xf>
    <xf numFmtId="164" fontId="11" fillId="8" borderId="8" xfId="0" applyNumberFormat="1" applyFont="1" applyFill="1" applyBorder="1" applyAlignment="1" applyProtection="1">
      <alignment horizontal="center" vertical="center"/>
      <protection locked="0"/>
    </xf>
    <xf numFmtId="164" fontId="11" fillId="8" borderId="9" xfId="0" applyNumberFormat="1" applyFont="1" applyFill="1" applyBorder="1" applyAlignment="1" applyProtection="1">
      <alignment horizontal="center" vertical="center"/>
      <protection locked="0"/>
    </xf>
    <xf numFmtId="165" fontId="11" fillId="8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 applyProtection="1">
      <alignment horizontal="center"/>
      <protection locked="0"/>
    </xf>
    <xf numFmtId="164" fontId="11" fillId="9" borderId="7" xfId="0" applyNumberFormat="1" applyFont="1" applyFill="1" applyBorder="1" applyAlignment="1" applyProtection="1">
      <alignment horizontal="center" vertical="center"/>
      <protection locked="0"/>
    </xf>
    <xf numFmtId="164" fontId="11" fillId="9" borderId="8" xfId="0" applyNumberFormat="1" applyFont="1" applyFill="1" applyBorder="1" applyAlignment="1" applyProtection="1">
      <alignment horizontal="center" vertical="center"/>
      <protection locked="0"/>
    </xf>
    <xf numFmtId="164" fontId="11" fillId="9" borderId="9" xfId="0" applyNumberFormat="1" applyFont="1" applyFill="1" applyBorder="1" applyAlignment="1" applyProtection="1">
      <alignment horizontal="center" vertical="center"/>
      <protection locked="0"/>
    </xf>
    <xf numFmtId="165" fontId="11" fillId="9" borderId="1" xfId="0" applyNumberFormat="1" applyFont="1" applyFill="1" applyBorder="1" applyAlignment="1">
      <alignment horizontal="center" vertical="center"/>
    </xf>
    <xf numFmtId="164" fontId="0" fillId="0" borderId="7" xfId="0" applyNumberFormat="1" applyBorder="1" applyAlignment="1" applyProtection="1">
      <alignment horizontal="center"/>
      <protection locked="0"/>
    </xf>
    <xf numFmtId="164" fontId="0" fillId="0" borderId="8" xfId="0" applyNumberFormat="1" applyBorder="1" applyAlignment="1" applyProtection="1">
      <alignment horizontal="center"/>
      <protection locked="0"/>
    </xf>
    <xf numFmtId="164" fontId="0" fillId="0" borderId="9" xfId="0" applyNumberFormat="1" applyBorder="1" applyAlignment="1" applyProtection="1">
      <alignment horizontal="center"/>
      <protection locked="0"/>
    </xf>
    <xf numFmtId="164" fontId="11" fillId="10" borderId="7" xfId="0" applyNumberFormat="1" applyFont="1" applyFill="1" applyBorder="1" applyAlignment="1" applyProtection="1">
      <alignment horizontal="center" vertical="center"/>
      <protection locked="0"/>
    </xf>
    <xf numFmtId="164" fontId="11" fillId="10" borderId="8" xfId="0" applyNumberFormat="1" applyFont="1" applyFill="1" applyBorder="1" applyAlignment="1" applyProtection="1">
      <alignment horizontal="center" vertical="center"/>
      <protection locked="0"/>
    </xf>
    <xf numFmtId="164" fontId="11" fillId="10" borderId="9" xfId="0" applyNumberFormat="1" applyFont="1" applyFill="1" applyBorder="1" applyAlignment="1" applyProtection="1">
      <alignment horizontal="center" vertical="center"/>
      <protection locked="0"/>
    </xf>
    <xf numFmtId="165" fontId="11" fillId="10" borderId="1" xfId="0" applyNumberFormat="1" applyFont="1" applyFill="1" applyBorder="1" applyAlignment="1">
      <alignment horizontal="center" vertical="center"/>
    </xf>
    <xf numFmtId="164" fontId="11" fillId="11" borderId="7" xfId="0" applyNumberFormat="1" applyFont="1" applyFill="1" applyBorder="1" applyAlignment="1" applyProtection="1">
      <alignment horizontal="center" vertical="center"/>
      <protection locked="0"/>
    </xf>
    <xf numFmtId="164" fontId="11" fillId="11" borderId="8" xfId="0" applyNumberFormat="1" applyFont="1" applyFill="1" applyBorder="1" applyAlignment="1" applyProtection="1">
      <alignment horizontal="center" vertical="center"/>
      <protection locked="0"/>
    </xf>
    <xf numFmtId="164" fontId="11" fillId="11" borderId="9" xfId="0" applyNumberFormat="1" applyFont="1" applyFill="1" applyBorder="1" applyAlignment="1" applyProtection="1">
      <alignment horizontal="center" vertical="center"/>
      <protection locked="0"/>
    </xf>
    <xf numFmtId="165" fontId="11" fillId="11" borderId="1" xfId="0" applyNumberFormat="1" applyFont="1" applyFill="1" applyBorder="1" applyAlignment="1">
      <alignment horizontal="center" vertical="center"/>
    </xf>
  </cellXfs>
  <cellStyles count="2">
    <cellStyle name="Excel Built-in Normal" xfId="1" xr:uid="{BDEBEDE2-2F7A-4710-92B7-DBEFACA06128}"/>
    <cellStyle name="Normal" xfId="0" builtinId="0"/>
  </cellStyles>
  <dxfs count="14">
    <dxf>
      <font>
        <color theme="2" tint="-0.24994659260841701"/>
      </font>
      <fill>
        <patternFill>
          <bgColor theme="2"/>
        </patternFill>
      </fill>
      <border>
        <left style="hair">
          <color theme="0"/>
        </left>
        <right style="hair">
          <color theme="0"/>
        </right>
        <top style="hair">
          <color theme="0"/>
        </top>
        <bottom style="hair">
          <color theme="0"/>
        </bottom>
      </border>
    </dxf>
    <dxf>
      <font>
        <color auto="1"/>
      </font>
      <fill>
        <patternFill>
          <bgColor theme="1"/>
        </patternFill>
      </fill>
      <border>
        <left/>
        <right/>
        <top/>
        <bottom/>
      </border>
    </dxf>
    <dxf>
      <font>
        <color theme="2" tint="-0.24994659260841701"/>
      </font>
      <fill>
        <patternFill>
          <bgColor theme="2"/>
        </patternFill>
      </fill>
      <border>
        <left style="hair">
          <color theme="0"/>
        </left>
        <right style="hair">
          <color theme="0"/>
        </right>
        <top style="hair">
          <color theme="0"/>
        </top>
        <bottom style="hair">
          <color theme="0"/>
        </bottom>
      </border>
    </dxf>
    <dxf>
      <font>
        <color auto="1"/>
      </font>
      <fill>
        <patternFill>
          <bgColor theme="1"/>
        </patternFill>
      </fill>
      <border>
        <left/>
        <right/>
        <top/>
        <bottom/>
      </border>
    </dxf>
    <dxf>
      <font>
        <color theme="2" tint="-0.24994659260841701"/>
      </font>
      <fill>
        <patternFill>
          <bgColor theme="2"/>
        </patternFill>
      </fill>
      <border>
        <left style="hair">
          <color theme="0"/>
        </left>
        <right style="hair">
          <color theme="0"/>
        </right>
        <top style="hair">
          <color theme="0"/>
        </top>
        <bottom style="hair">
          <color theme="0"/>
        </bottom>
      </border>
    </dxf>
    <dxf>
      <font>
        <color auto="1"/>
      </font>
      <fill>
        <patternFill>
          <bgColor theme="1"/>
        </patternFill>
      </fill>
      <border>
        <left/>
        <right/>
        <top/>
        <bottom/>
      </border>
    </dxf>
    <dxf>
      <font>
        <color theme="2" tint="-0.24994659260841701"/>
      </font>
      <fill>
        <patternFill>
          <bgColor theme="2"/>
        </patternFill>
      </fill>
      <border>
        <left style="hair">
          <color theme="0"/>
        </left>
        <right style="hair">
          <color theme="0"/>
        </right>
        <top style="hair">
          <color theme="0"/>
        </top>
        <bottom style="hair">
          <color theme="0"/>
        </bottom>
      </border>
    </dxf>
    <dxf>
      <font>
        <color auto="1"/>
      </font>
      <fill>
        <patternFill>
          <bgColor theme="1"/>
        </patternFill>
      </fill>
      <border>
        <left/>
        <right/>
        <top/>
        <bottom/>
      </border>
    </dxf>
    <dxf>
      <font>
        <color theme="2" tint="-0.24994659260841701"/>
      </font>
      <fill>
        <patternFill>
          <bgColor theme="2"/>
        </patternFill>
      </fill>
      <border>
        <left style="hair">
          <color theme="0"/>
        </left>
        <right style="hair">
          <color theme="0"/>
        </right>
        <top style="hair">
          <color theme="0"/>
        </top>
        <bottom style="hair">
          <color theme="0"/>
        </bottom>
      </border>
    </dxf>
    <dxf>
      <font>
        <color auto="1"/>
      </font>
      <fill>
        <patternFill>
          <bgColor theme="1"/>
        </patternFill>
      </fill>
      <border>
        <left/>
        <right/>
        <top/>
        <bottom/>
      </border>
    </dxf>
    <dxf>
      <font>
        <color theme="2" tint="-0.24994659260841701"/>
      </font>
      <fill>
        <patternFill>
          <bgColor theme="2"/>
        </patternFill>
      </fill>
      <border>
        <left style="hair">
          <color theme="0"/>
        </left>
        <right style="hair">
          <color theme="0"/>
        </right>
        <top style="hair">
          <color theme="0"/>
        </top>
        <bottom style="hair">
          <color theme="0"/>
        </bottom>
      </border>
    </dxf>
    <dxf>
      <font>
        <color auto="1"/>
      </font>
      <fill>
        <patternFill>
          <bgColor theme="1"/>
        </patternFill>
      </fill>
      <border>
        <left/>
        <right/>
        <top/>
        <bottom/>
      </border>
    </dxf>
    <dxf>
      <font>
        <color theme="2" tint="-0.24994659260841701"/>
      </font>
      <fill>
        <patternFill>
          <bgColor theme="2"/>
        </patternFill>
      </fill>
      <border>
        <left style="hair">
          <color theme="0"/>
        </left>
        <right style="hair">
          <color theme="0"/>
        </right>
        <top style="hair">
          <color theme="0"/>
        </top>
        <bottom style="hair">
          <color theme="0"/>
        </bottom>
      </border>
    </dxf>
    <dxf>
      <font>
        <color auto="1"/>
      </font>
      <fill>
        <patternFill>
          <bgColor theme="1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EC333-1C02-44C1-9419-6E63D9C3FB37}">
  <dimension ref="A1:CA48"/>
  <sheetViews>
    <sheetView showGridLines="0" tabSelected="1" zoomScale="60" zoomScaleNormal="60" workbookViewId="0">
      <pane xSplit="3" ySplit="6" topLeftCell="D15" activePane="bottomRight" state="frozen"/>
      <selection pane="topRight" activeCell="D1" sqref="D1"/>
      <selection pane="bottomLeft" activeCell="A8" sqref="A8"/>
      <selection pane="bottomRight" activeCell="AK52" sqref="AK52"/>
    </sheetView>
  </sheetViews>
  <sheetFormatPr baseColWidth="10" defaultColWidth="11.42578125" defaultRowHeight="15" x14ac:dyDescent="0.25"/>
  <cols>
    <col min="1" max="1" width="1.5703125" style="4" customWidth="1"/>
    <col min="2" max="2" width="9.28515625" style="4" customWidth="1"/>
    <col min="3" max="3" width="12.5703125" style="4" customWidth="1"/>
    <col min="4" max="7" width="4.5703125" style="4" customWidth="1"/>
    <col min="8" max="8" width="4.7109375" style="4" customWidth="1"/>
    <col min="9" max="10" width="4.5703125" style="4" customWidth="1"/>
    <col min="11" max="11" width="5.7109375" style="4" customWidth="1"/>
    <col min="12" max="13" width="4.5703125" style="4" hidden="1" customWidth="1"/>
    <col min="14" max="14" width="11.28515625" style="4" customWidth="1"/>
    <col min="15" max="15" width="9" style="4" bestFit="1" customWidth="1"/>
    <col min="16" max="22" width="4.5703125" style="4" customWidth="1"/>
    <col min="23" max="24" width="4.5703125" style="4" hidden="1" customWidth="1"/>
    <col min="25" max="25" width="3.85546875" style="4" customWidth="1"/>
    <col min="26" max="33" width="4.5703125" style="4" customWidth="1"/>
    <col min="34" max="35" width="4.5703125" style="4" hidden="1" customWidth="1"/>
    <col min="36" max="36" width="3.85546875" style="4" customWidth="1"/>
    <col min="37" max="44" width="4.5703125" style="4" customWidth="1"/>
    <col min="45" max="46" width="4.5703125" style="4" hidden="1" customWidth="1"/>
    <col min="47" max="47" width="3.85546875" style="4" customWidth="1"/>
    <col min="48" max="55" width="4.5703125" style="4" customWidth="1"/>
    <col min="56" max="57" width="4.5703125" style="4" hidden="1" customWidth="1"/>
    <col min="58" max="58" width="3.85546875" style="4" customWidth="1"/>
    <col min="59" max="66" width="4.5703125" style="4" customWidth="1"/>
    <col min="67" max="68" width="4.5703125" style="4" hidden="1" customWidth="1"/>
    <col min="69" max="69" width="3.85546875" style="4" customWidth="1"/>
    <col min="70" max="77" width="4.5703125" style="4" customWidth="1"/>
    <col min="78" max="79" width="4.5703125" style="4" hidden="1" customWidth="1"/>
    <col min="80" max="16384" width="11.42578125" style="4"/>
  </cols>
  <sheetData>
    <row r="1" spans="1:79" ht="18.75" x14ac:dyDescent="0.3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</row>
    <row r="2" spans="1:79" ht="45" customHeight="1" x14ac:dyDescent="0.25">
      <c r="A2" s="5" t="s">
        <v>1</v>
      </c>
      <c r="B2" s="6"/>
      <c r="C2" s="6"/>
      <c r="D2" s="7" t="str">
        <f>UPPER(CONCATENATE("HORARIO ",TEXT(DAY(C5),"00")," DE ",TEXT(C5,"mmmm")," AL ",TEXT(DAY(C5+6),"00")," DE ",TEXT(C5+6,"mmmm")))</f>
        <v>HORARIO 03 DE AGOSTO AL 09 DE AGOSTO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</row>
    <row r="3" spans="1:79" x14ac:dyDescent="0.25">
      <c r="A3" s="8"/>
    </row>
    <row r="5" spans="1:79" ht="38.25" customHeight="1" x14ac:dyDescent="0.4">
      <c r="B5" s="9" t="s">
        <v>2</v>
      </c>
      <c r="C5" s="10">
        <v>46237</v>
      </c>
      <c r="D5" s="11" t="str">
        <f>CONCATENATE("Lunes ",TEXT(DAY(C5),"00"))</f>
        <v>Lunes 03</v>
      </c>
      <c r="E5" s="11"/>
      <c r="F5" s="11"/>
      <c r="G5" s="11"/>
      <c r="H5" s="11"/>
      <c r="I5" s="11"/>
      <c r="J5" s="11"/>
      <c r="K5" s="11"/>
      <c r="L5" s="11"/>
      <c r="M5" s="11"/>
      <c r="N5" s="12"/>
      <c r="O5" s="11" t="str">
        <f>CONCATENATE("Martes ",TEXT(DAY(C5+1),"00"))</f>
        <v>Martes 04</v>
      </c>
      <c r="P5" s="11"/>
      <c r="Q5" s="11"/>
      <c r="R5" s="11"/>
      <c r="S5" s="11"/>
      <c r="T5" s="11"/>
      <c r="U5" s="11"/>
      <c r="V5" s="11"/>
      <c r="W5" s="11"/>
      <c r="X5" s="11"/>
      <c r="Y5" s="12"/>
      <c r="Z5" s="11" t="str">
        <f>CONCATENATE("Miercoles ",TEXT(DAY(C5+2),"00"))</f>
        <v>Miercoles 05</v>
      </c>
      <c r="AA5" s="11"/>
      <c r="AB5" s="11"/>
      <c r="AC5" s="11"/>
      <c r="AD5" s="11"/>
      <c r="AE5" s="11"/>
      <c r="AF5" s="11"/>
      <c r="AG5" s="11"/>
      <c r="AH5" s="11"/>
      <c r="AI5" s="11"/>
      <c r="AJ5" s="12"/>
      <c r="AK5" s="11" t="str">
        <f>CONCATENATE("Jueves ",TEXT(DAY(C5+3),"00"))</f>
        <v>Jueves 06</v>
      </c>
      <c r="AL5" s="11"/>
      <c r="AM5" s="11"/>
      <c r="AN5" s="11"/>
      <c r="AO5" s="11"/>
      <c r="AP5" s="11"/>
      <c r="AQ5" s="11"/>
      <c r="AR5" s="11"/>
      <c r="AS5" s="11"/>
      <c r="AT5" s="11"/>
      <c r="AU5" s="12"/>
      <c r="AV5" s="11" t="str">
        <f>CONCATENATE("Viernes ",TEXT(DAY(C5+4),"00"))</f>
        <v>Viernes 07</v>
      </c>
      <c r="AW5" s="11"/>
      <c r="AX5" s="11"/>
      <c r="AY5" s="11"/>
      <c r="AZ5" s="11"/>
      <c r="BA5" s="11"/>
      <c r="BB5" s="11"/>
      <c r="BC5" s="11"/>
      <c r="BD5" s="11"/>
      <c r="BE5" s="11"/>
      <c r="BF5" s="12"/>
      <c r="BG5" s="11" t="str">
        <f>CONCATENATE("Sábado ",TEXT(DAY(C5+5),"00"))</f>
        <v>Sábado 08</v>
      </c>
      <c r="BH5" s="11"/>
      <c r="BI5" s="11"/>
      <c r="BJ5" s="11"/>
      <c r="BK5" s="11"/>
      <c r="BL5" s="11"/>
      <c r="BM5" s="11"/>
      <c r="BN5" s="11"/>
      <c r="BO5" s="11"/>
      <c r="BP5" s="11"/>
      <c r="BQ5" s="12"/>
      <c r="BR5" s="11" t="str">
        <f>CONCATENATE("Domingo ",TEXT(DAY(C5+6),"00"))</f>
        <v>Domingo 09</v>
      </c>
      <c r="BS5" s="11"/>
      <c r="BT5" s="11"/>
      <c r="BU5" s="11"/>
      <c r="BV5" s="11"/>
      <c r="BW5" s="11"/>
      <c r="BX5" s="11"/>
      <c r="BY5" s="11"/>
      <c r="BZ5" s="11"/>
      <c r="CA5" s="11"/>
    </row>
    <row r="6" spans="1:79" ht="61.5" customHeight="1" x14ac:dyDescent="0.25">
      <c r="D6" s="13" t="s">
        <v>3</v>
      </c>
      <c r="E6" s="14" t="s">
        <v>4</v>
      </c>
      <c r="F6" s="15" t="s">
        <v>5</v>
      </c>
      <c r="G6" s="16" t="s">
        <v>6</v>
      </c>
      <c r="H6" s="17"/>
      <c r="I6" s="18"/>
      <c r="J6" s="15"/>
      <c r="K6" s="19"/>
      <c r="L6" s="16"/>
      <c r="M6" s="20"/>
      <c r="O6" s="13" t="s">
        <v>3</v>
      </c>
      <c r="P6" s="14" t="s">
        <v>4</v>
      </c>
      <c r="Q6" s="15" t="s">
        <v>5</v>
      </c>
      <c r="R6" s="16" t="s">
        <v>6</v>
      </c>
      <c r="S6" s="17"/>
      <c r="T6" s="18"/>
      <c r="U6" s="15"/>
      <c r="V6" s="19"/>
      <c r="W6" s="16"/>
      <c r="X6" s="20"/>
      <c r="Z6" s="13" t="s">
        <v>3</v>
      </c>
      <c r="AA6" s="14" t="s">
        <v>4</v>
      </c>
      <c r="AB6" s="15" t="s">
        <v>5</v>
      </c>
      <c r="AC6" s="16" t="s">
        <v>6</v>
      </c>
      <c r="AD6" s="17"/>
      <c r="AE6" s="18"/>
      <c r="AF6" s="15"/>
      <c r="AG6" s="19"/>
      <c r="AH6" s="16"/>
      <c r="AI6" s="20"/>
      <c r="AK6" s="13" t="s">
        <v>3</v>
      </c>
      <c r="AL6" s="14" t="s">
        <v>4</v>
      </c>
      <c r="AM6" s="15" t="s">
        <v>5</v>
      </c>
      <c r="AN6" s="16" t="s">
        <v>6</v>
      </c>
      <c r="AO6" s="17"/>
      <c r="AP6" s="18"/>
      <c r="AQ6" s="15"/>
      <c r="AR6" s="19"/>
      <c r="AS6" s="16"/>
      <c r="AT6" s="20"/>
      <c r="AV6" s="13" t="s">
        <v>3</v>
      </c>
      <c r="AW6" s="14" t="s">
        <v>4</v>
      </c>
      <c r="AX6" s="15" t="s">
        <v>5</v>
      </c>
      <c r="AY6" s="16" t="s">
        <v>6</v>
      </c>
      <c r="AZ6" s="17"/>
      <c r="BA6" s="18"/>
      <c r="BB6" s="15"/>
      <c r="BC6" s="19"/>
      <c r="BD6" s="16"/>
      <c r="BE6" s="20"/>
      <c r="BG6" s="13" t="s">
        <v>3</v>
      </c>
      <c r="BH6" s="14" t="s">
        <v>4</v>
      </c>
      <c r="BI6" s="15" t="s">
        <v>5</v>
      </c>
      <c r="BJ6" s="16" t="s">
        <v>6</v>
      </c>
      <c r="BK6" s="17"/>
      <c r="BL6" s="18"/>
      <c r="BM6" s="15"/>
      <c r="BN6" s="19"/>
      <c r="BO6" s="16"/>
      <c r="BP6" s="20"/>
      <c r="BR6" s="13" t="s">
        <v>3</v>
      </c>
      <c r="BS6" s="14" t="s">
        <v>4</v>
      </c>
      <c r="BT6" s="15" t="s">
        <v>5</v>
      </c>
      <c r="BU6" s="16" t="s">
        <v>6</v>
      </c>
      <c r="BV6" s="17" t="s">
        <v>7</v>
      </c>
      <c r="BW6" s="18"/>
      <c r="BX6" s="15"/>
      <c r="BY6" s="19"/>
      <c r="BZ6" s="16"/>
      <c r="CA6" s="20"/>
    </row>
    <row r="7" spans="1:79" ht="15" hidden="1" customHeight="1" x14ac:dyDescent="0.25">
      <c r="A7" s="2"/>
      <c r="B7" s="21">
        <v>0.999999999999999</v>
      </c>
      <c r="C7" s="21">
        <v>1.0416666666666701</v>
      </c>
      <c r="D7" s="22"/>
      <c r="E7" s="23"/>
      <c r="F7" s="24"/>
      <c r="G7" s="25"/>
      <c r="H7" s="26"/>
      <c r="I7" s="27"/>
      <c r="J7" s="24"/>
      <c r="K7" s="28"/>
      <c r="L7" s="25"/>
      <c r="M7" s="29"/>
      <c r="N7" s="30"/>
      <c r="O7" s="22"/>
      <c r="P7" s="23"/>
      <c r="Q7" s="24"/>
      <c r="R7" s="25"/>
      <c r="S7" s="26"/>
      <c r="T7" s="27"/>
      <c r="U7" s="24"/>
      <c r="V7" s="28"/>
      <c r="W7" s="25"/>
      <c r="X7" s="29"/>
      <c r="Y7" s="30"/>
      <c r="Z7" s="22"/>
      <c r="AA7" s="23"/>
      <c r="AB7" s="24"/>
      <c r="AC7" s="25"/>
      <c r="AD7" s="26"/>
      <c r="AE7" s="27"/>
      <c r="AF7" s="24"/>
      <c r="AG7" s="28"/>
      <c r="AH7" s="25"/>
      <c r="AI7" s="29"/>
      <c r="AJ7" s="30"/>
      <c r="AK7" s="22"/>
      <c r="AL7" s="23"/>
      <c r="AM7" s="24"/>
      <c r="AN7" s="25"/>
      <c r="AO7" s="26"/>
      <c r="AP7" s="27"/>
      <c r="AQ7" s="24"/>
      <c r="AR7" s="28"/>
      <c r="AS7" s="25"/>
      <c r="AT7" s="29"/>
      <c r="AU7" s="30"/>
      <c r="AV7" s="22"/>
      <c r="AW7" s="23"/>
      <c r="AX7" s="24"/>
      <c r="AY7" s="25"/>
      <c r="AZ7" s="26"/>
      <c r="BA7" s="27"/>
      <c r="BB7" s="24"/>
      <c r="BC7" s="28"/>
      <c r="BD7" s="25"/>
      <c r="BE7" s="29"/>
      <c r="BF7" s="30"/>
      <c r="BG7" s="22"/>
      <c r="BH7" s="23"/>
      <c r="BI7" s="24"/>
      <c r="BJ7" s="25"/>
      <c r="BK7" s="26"/>
      <c r="BL7" s="27"/>
      <c r="BM7" s="24"/>
      <c r="BN7" s="28"/>
      <c r="BO7" s="25"/>
      <c r="BP7" s="29"/>
      <c r="BQ7" s="30"/>
      <c r="BR7" s="22"/>
      <c r="BS7" s="23"/>
      <c r="BT7" s="24"/>
      <c r="BU7" s="25"/>
      <c r="BV7" s="26"/>
      <c r="BW7" s="27"/>
      <c r="BX7" s="24"/>
      <c r="BY7" s="28"/>
      <c r="BZ7" s="25"/>
      <c r="CA7" s="29"/>
    </row>
    <row r="8" spans="1:79" ht="15" hidden="1" customHeight="1" x14ac:dyDescent="0.25">
      <c r="A8" s="2"/>
      <c r="B8" s="21">
        <v>1.0416666666666601</v>
      </c>
      <c r="C8" s="21">
        <v>1.0833333333333399</v>
      </c>
      <c r="D8" s="22"/>
      <c r="E8" s="23"/>
      <c r="F8" s="24"/>
      <c r="G8" s="25"/>
      <c r="H8" s="26"/>
      <c r="I8" s="27"/>
      <c r="J8" s="24"/>
      <c r="K8" s="28"/>
      <c r="L8" s="25"/>
      <c r="M8" s="29"/>
      <c r="N8" s="30"/>
      <c r="O8" s="22"/>
      <c r="P8" s="23"/>
      <c r="Q8" s="24"/>
      <c r="R8" s="25"/>
      <c r="S8" s="26"/>
      <c r="T8" s="27"/>
      <c r="U8" s="24"/>
      <c r="V8" s="28"/>
      <c r="W8" s="25"/>
      <c r="X8" s="29"/>
      <c r="Y8" s="30"/>
      <c r="Z8" s="22"/>
      <c r="AA8" s="23"/>
      <c r="AB8" s="24"/>
      <c r="AC8" s="25"/>
      <c r="AD8" s="26"/>
      <c r="AE8" s="27"/>
      <c r="AF8" s="24"/>
      <c r="AG8" s="28"/>
      <c r="AH8" s="25"/>
      <c r="AI8" s="29"/>
      <c r="AJ8" s="30"/>
      <c r="AK8" s="22"/>
      <c r="AL8" s="23"/>
      <c r="AM8" s="24"/>
      <c r="AN8" s="25"/>
      <c r="AO8" s="26"/>
      <c r="AP8" s="27"/>
      <c r="AQ8" s="24"/>
      <c r="AR8" s="28"/>
      <c r="AS8" s="25"/>
      <c r="AT8" s="29"/>
      <c r="AU8" s="30"/>
      <c r="AV8" s="22"/>
      <c r="AW8" s="23"/>
      <c r="AX8" s="24"/>
      <c r="AY8" s="25"/>
      <c r="AZ8" s="26"/>
      <c r="BA8" s="27"/>
      <c r="BB8" s="24"/>
      <c r="BC8" s="28"/>
      <c r="BD8" s="25"/>
      <c r="BE8" s="29"/>
      <c r="BF8" s="30"/>
      <c r="BG8" s="22"/>
      <c r="BH8" s="23"/>
      <c r="BI8" s="24"/>
      <c r="BJ8" s="25"/>
      <c r="BK8" s="26"/>
      <c r="BL8" s="27"/>
      <c r="BM8" s="24"/>
      <c r="BN8" s="28"/>
      <c r="BO8" s="25"/>
      <c r="BP8" s="29"/>
      <c r="BQ8" s="30"/>
      <c r="BR8" s="22"/>
      <c r="BS8" s="23"/>
      <c r="BT8" s="24"/>
      <c r="BU8" s="25"/>
      <c r="BV8" s="26"/>
      <c r="BW8" s="27"/>
      <c r="BX8" s="24"/>
      <c r="BY8" s="28"/>
      <c r="BZ8" s="25"/>
      <c r="CA8" s="29"/>
    </row>
    <row r="9" spans="1:79" ht="15" hidden="1" customHeight="1" x14ac:dyDescent="0.25">
      <c r="A9" s="2"/>
      <c r="B9" s="21">
        <v>1.0833333333333299</v>
      </c>
      <c r="C9" s="21">
        <v>1.125</v>
      </c>
      <c r="D9" s="22"/>
      <c r="E9" s="23"/>
      <c r="F9" s="24"/>
      <c r="G9" s="25"/>
      <c r="H9" s="26"/>
      <c r="I9" s="27"/>
      <c r="J9" s="24"/>
      <c r="K9" s="28"/>
      <c r="L9" s="25"/>
      <c r="M9" s="29"/>
      <c r="N9" s="30"/>
      <c r="O9" s="22"/>
      <c r="P9" s="23"/>
      <c r="Q9" s="24"/>
      <c r="R9" s="25"/>
      <c r="S9" s="26"/>
      <c r="T9" s="27"/>
      <c r="U9" s="24"/>
      <c r="V9" s="28"/>
      <c r="W9" s="25"/>
      <c r="X9" s="29"/>
      <c r="Y9" s="30"/>
      <c r="Z9" s="22"/>
      <c r="AA9" s="23"/>
      <c r="AB9" s="24"/>
      <c r="AC9" s="25"/>
      <c r="AD9" s="26"/>
      <c r="AE9" s="27"/>
      <c r="AF9" s="24"/>
      <c r="AG9" s="28"/>
      <c r="AH9" s="25"/>
      <c r="AI9" s="29"/>
      <c r="AJ9" s="30"/>
      <c r="AK9" s="22"/>
      <c r="AL9" s="23"/>
      <c r="AM9" s="24"/>
      <c r="AN9" s="25"/>
      <c r="AO9" s="26"/>
      <c r="AP9" s="27"/>
      <c r="AQ9" s="24"/>
      <c r="AR9" s="28"/>
      <c r="AS9" s="25"/>
      <c r="AT9" s="29"/>
      <c r="AU9" s="30"/>
      <c r="AV9" s="22"/>
      <c r="AW9" s="23"/>
      <c r="AX9" s="24"/>
      <c r="AY9" s="25"/>
      <c r="AZ9" s="26"/>
      <c r="BA9" s="27"/>
      <c r="BB9" s="24"/>
      <c r="BC9" s="28"/>
      <c r="BD9" s="25"/>
      <c r="BE9" s="29"/>
      <c r="BF9" s="30"/>
      <c r="BG9" s="22"/>
      <c r="BH9" s="23"/>
      <c r="BI9" s="24"/>
      <c r="BJ9" s="25"/>
      <c r="BK9" s="26"/>
      <c r="BL9" s="27"/>
      <c r="BM9" s="24"/>
      <c r="BN9" s="28"/>
      <c r="BO9" s="25"/>
      <c r="BP9" s="29"/>
      <c r="BQ9" s="30"/>
      <c r="BR9" s="22"/>
      <c r="BS9" s="23"/>
      <c r="BT9" s="24"/>
      <c r="BU9" s="25"/>
      <c r="BV9" s="26"/>
      <c r="BW9" s="27"/>
      <c r="BX9" s="24"/>
      <c r="BY9" s="28"/>
      <c r="BZ9" s="25"/>
      <c r="CA9" s="29"/>
    </row>
    <row r="10" spans="1:79" ht="15" hidden="1" customHeight="1" x14ac:dyDescent="0.25">
      <c r="A10" s="2"/>
      <c r="B10" s="21">
        <v>1.125</v>
      </c>
      <c r="C10" s="21">
        <v>1.1666666666666601</v>
      </c>
      <c r="D10" s="22"/>
      <c r="E10" s="23"/>
      <c r="F10" s="24"/>
      <c r="G10" s="25"/>
      <c r="H10" s="26"/>
      <c r="I10" s="27"/>
      <c r="J10" s="24"/>
      <c r="K10" s="28"/>
      <c r="L10" s="25"/>
      <c r="M10" s="29"/>
      <c r="N10" s="30"/>
      <c r="O10" s="22"/>
      <c r="P10" s="23"/>
      <c r="Q10" s="24"/>
      <c r="R10" s="25"/>
      <c r="S10" s="26"/>
      <c r="T10" s="27"/>
      <c r="U10" s="24"/>
      <c r="V10" s="28"/>
      <c r="W10" s="25"/>
      <c r="X10" s="29"/>
      <c r="Y10" s="30"/>
      <c r="Z10" s="22"/>
      <c r="AA10" s="23"/>
      <c r="AB10" s="24"/>
      <c r="AC10" s="25"/>
      <c r="AD10" s="26"/>
      <c r="AE10" s="27"/>
      <c r="AF10" s="24"/>
      <c r="AG10" s="28"/>
      <c r="AH10" s="25"/>
      <c r="AI10" s="29"/>
      <c r="AJ10" s="30"/>
      <c r="AK10" s="22"/>
      <c r="AL10" s="23"/>
      <c r="AM10" s="24"/>
      <c r="AN10" s="25"/>
      <c r="AO10" s="26"/>
      <c r="AP10" s="27"/>
      <c r="AQ10" s="24"/>
      <c r="AR10" s="28"/>
      <c r="AS10" s="25"/>
      <c r="AT10" s="29"/>
      <c r="AU10" s="30"/>
      <c r="AV10" s="22"/>
      <c r="AW10" s="23"/>
      <c r="AX10" s="24"/>
      <c r="AY10" s="25"/>
      <c r="AZ10" s="26"/>
      <c r="BA10" s="27"/>
      <c r="BB10" s="24"/>
      <c r="BC10" s="28"/>
      <c r="BD10" s="25"/>
      <c r="BE10" s="29"/>
      <c r="BF10" s="30"/>
      <c r="BG10" s="22"/>
      <c r="BH10" s="23"/>
      <c r="BI10" s="24"/>
      <c r="BJ10" s="25"/>
      <c r="BK10" s="26"/>
      <c r="BL10" s="27"/>
      <c r="BM10" s="24"/>
      <c r="BN10" s="28"/>
      <c r="BO10" s="25"/>
      <c r="BP10" s="29"/>
      <c r="BQ10" s="30"/>
      <c r="BR10" s="22"/>
      <c r="BS10" s="23"/>
      <c r="BT10" s="24"/>
      <c r="BU10" s="25"/>
      <c r="BV10" s="26"/>
      <c r="BW10" s="27"/>
      <c r="BX10" s="24"/>
      <c r="BY10" s="28"/>
      <c r="BZ10" s="25"/>
      <c r="CA10" s="29"/>
    </row>
    <row r="11" spans="1:79" ht="15" hidden="1" customHeight="1" x14ac:dyDescent="0.25">
      <c r="A11" s="2"/>
      <c r="B11" s="21">
        <v>1.1666666666666701</v>
      </c>
      <c r="C11" s="21">
        <v>1.2083333333333199</v>
      </c>
      <c r="D11" s="22"/>
      <c r="E11" s="23"/>
      <c r="F11" s="24"/>
      <c r="G11" s="25"/>
      <c r="H11" s="26"/>
      <c r="I11" s="27"/>
      <c r="J11" s="24"/>
      <c r="K11" s="28"/>
      <c r="L11" s="25"/>
      <c r="M11" s="29"/>
      <c r="N11" s="30"/>
      <c r="O11" s="22"/>
      <c r="P11" s="23"/>
      <c r="Q11" s="24"/>
      <c r="R11" s="25"/>
      <c r="S11" s="26"/>
      <c r="T11" s="27"/>
      <c r="U11" s="24"/>
      <c r="V11" s="28"/>
      <c r="W11" s="25"/>
      <c r="X11" s="29"/>
      <c r="Y11" s="30"/>
      <c r="Z11" s="22"/>
      <c r="AA11" s="23"/>
      <c r="AB11" s="24"/>
      <c r="AC11" s="25"/>
      <c r="AD11" s="26"/>
      <c r="AE11" s="27"/>
      <c r="AF11" s="24"/>
      <c r="AG11" s="28"/>
      <c r="AH11" s="25"/>
      <c r="AI11" s="29"/>
      <c r="AJ11" s="30"/>
      <c r="AK11" s="22"/>
      <c r="AL11" s="23"/>
      <c r="AM11" s="24"/>
      <c r="AN11" s="25"/>
      <c r="AO11" s="26"/>
      <c r="AP11" s="27"/>
      <c r="AQ11" s="24"/>
      <c r="AR11" s="28"/>
      <c r="AS11" s="25"/>
      <c r="AT11" s="29"/>
      <c r="AU11" s="30"/>
      <c r="AV11" s="22"/>
      <c r="AW11" s="23"/>
      <c r="AX11" s="24"/>
      <c r="AY11" s="25"/>
      <c r="AZ11" s="26"/>
      <c r="BA11" s="27"/>
      <c r="BB11" s="24"/>
      <c r="BC11" s="28"/>
      <c r="BD11" s="25"/>
      <c r="BE11" s="29"/>
      <c r="BF11" s="30"/>
      <c r="BG11" s="22"/>
      <c r="BH11" s="23"/>
      <c r="BI11" s="24"/>
      <c r="BJ11" s="25"/>
      <c r="BK11" s="26"/>
      <c r="BL11" s="27"/>
      <c r="BM11" s="24"/>
      <c r="BN11" s="28"/>
      <c r="BO11" s="25"/>
      <c r="BP11" s="29"/>
      <c r="BQ11" s="30"/>
      <c r="BR11" s="22"/>
      <c r="BS11" s="23"/>
      <c r="BT11" s="24"/>
      <c r="BU11" s="25"/>
      <c r="BV11" s="26"/>
      <c r="BW11" s="27"/>
      <c r="BX11" s="24"/>
      <c r="BY11" s="28"/>
      <c r="BZ11" s="25"/>
      <c r="CA11" s="29"/>
    </row>
    <row r="12" spans="1:79" ht="2.25" hidden="1" customHeight="1" x14ac:dyDescent="0.25">
      <c r="A12" s="2"/>
      <c r="B12" s="21">
        <v>1.2083333333333399</v>
      </c>
      <c r="C12" s="21">
        <v>1.24999999999998</v>
      </c>
      <c r="D12" s="22"/>
      <c r="E12" s="23"/>
      <c r="F12" s="24"/>
      <c r="G12" s="25"/>
      <c r="H12" s="26"/>
      <c r="I12" s="27"/>
      <c r="J12" s="24"/>
      <c r="K12" s="28"/>
      <c r="L12" s="25"/>
      <c r="M12" s="29"/>
      <c r="N12" s="30"/>
      <c r="O12" s="22"/>
      <c r="P12" s="23"/>
      <c r="Q12" s="24"/>
      <c r="R12" s="25"/>
      <c r="S12" s="26"/>
      <c r="T12" s="27"/>
      <c r="U12" s="24"/>
      <c r="V12" s="28"/>
      <c r="W12" s="25"/>
      <c r="X12" s="29"/>
      <c r="Y12" s="30"/>
      <c r="Z12" s="22"/>
      <c r="AA12" s="23"/>
      <c r="AB12" s="24"/>
      <c r="AC12" s="25"/>
      <c r="AD12" s="26"/>
      <c r="AE12" s="27"/>
      <c r="AF12" s="24"/>
      <c r="AG12" s="28"/>
      <c r="AH12" s="25"/>
      <c r="AI12" s="29"/>
      <c r="AJ12" s="30"/>
      <c r="AK12" s="22"/>
      <c r="AL12" s="23"/>
      <c r="AM12" s="24"/>
      <c r="AN12" s="25"/>
      <c r="AO12" s="26"/>
      <c r="AP12" s="27"/>
      <c r="AQ12" s="24"/>
      <c r="AR12" s="28"/>
      <c r="AS12" s="25"/>
      <c r="AT12" s="29"/>
      <c r="AU12" s="30"/>
      <c r="AV12" s="22"/>
      <c r="AW12" s="23"/>
      <c r="AX12" s="24"/>
      <c r="AY12" s="25"/>
      <c r="AZ12" s="26"/>
      <c r="BA12" s="27"/>
      <c r="BB12" s="24"/>
      <c r="BC12" s="28"/>
      <c r="BD12" s="25"/>
      <c r="BE12" s="29"/>
      <c r="BF12" s="30"/>
      <c r="BG12" s="22"/>
      <c r="BH12" s="23"/>
      <c r="BI12" s="24"/>
      <c r="BJ12" s="25"/>
      <c r="BK12" s="26"/>
      <c r="BL12" s="27"/>
      <c r="BM12" s="24"/>
      <c r="BN12" s="28"/>
      <c r="BO12" s="25"/>
      <c r="BP12" s="29"/>
      <c r="BQ12" s="30"/>
      <c r="BR12" s="22"/>
      <c r="BS12" s="23"/>
      <c r="BT12" s="24"/>
      <c r="BU12" s="25"/>
      <c r="BV12" s="26"/>
      <c r="BW12" s="27"/>
      <c r="BX12" s="24"/>
      <c r="BY12" s="28"/>
      <c r="BZ12" s="25"/>
      <c r="CA12" s="29"/>
    </row>
    <row r="13" spans="1:79" hidden="1" x14ac:dyDescent="0.25">
      <c r="A13" s="2"/>
      <c r="B13" s="21">
        <v>1.25000000000001</v>
      </c>
      <c r="C13" s="21">
        <v>1.2916666666666401</v>
      </c>
      <c r="D13" s="22"/>
      <c r="E13" s="23"/>
      <c r="F13" s="24"/>
      <c r="G13" s="25"/>
      <c r="H13" s="26"/>
      <c r="I13" s="27"/>
      <c r="J13" s="24"/>
      <c r="K13" s="28"/>
      <c r="L13" s="25"/>
      <c r="M13" s="29"/>
      <c r="N13" s="30"/>
      <c r="O13" s="22"/>
      <c r="P13" s="23"/>
      <c r="Q13" s="24"/>
      <c r="R13" s="25"/>
      <c r="S13" s="26"/>
      <c r="T13" s="27"/>
      <c r="U13" s="24"/>
      <c r="V13" s="28"/>
      <c r="W13" s="25"/>
      <c r="X13" s="29"/>
      <c r="Y13" s="30"/>
      <c r="Z13" s="22"/>
      <c r="AA13" s="23"/>
      <c r="AB13" s="24"/>
      <c r="AC13" s="25"/>
      <c r="AD13" s="26"/>
      <c r="AE13" s="27"/>
      <c r="AF13" s="24"/>
      <c r="AG13" s="28"/>
      <c r="AH13" s="25"/>
      <c r="AI13" s="29"/>
      <c r="AJ13" s="30"/>
      <c r="AK13" s="22"/>
      <c r="AL13" s="23"/>
      <c r="AM13" s="24"/>
      <c r="AN13" s="25"/>
      <c r="AO13" s="26"/>
      <c r="AP13" s="27"/>
      <c r="AQ13" s="24"/>
      <c r="AR13" s="28"/>
      <c r="AS13" s="25"/>
      <c r="AT13" s="29"/>
      <c r="AU13" s="30"/>
      <c r="AV13" s="22"/>
      <c r="AW13" s="23"/>
      <c r="AX13" s="24"/>
      <c r="AY13" s="25"/>
      <c r="AZ13" s="26"/>
      <c r="BA13" s="27"/>
      <c r="BB13" s="24"/>
      <c r="BC13" s="28"/>
      <c r="BD13" s="25"/>
      <c r="BE13" s="29"/>
      <c r="BF13" s="30"/>
      <c r="BG13" s="22"/>
      <c r="BH13" s="23"/>
      <c r="BI13" s="24"/>
      <c r="BJ13" s="25"/>
      <c r="BK13" s="26"/>
      <c r="BL13" s="27"/>
      <c r="BM13" s="24"/>
      <c r="BN13" s="28"/>
      <c r="BO13" s="25"/>
      <c r="BP13" s="29"/>
      <c r="BQ13" s="30"/>
      <c r="BR13" s="22"/>
      <c r="BS13" s="23"/>
      <c r="BT13" s="24"/>
      <c r="BU13" s="25"/>
      <c r="BV13" s="26"/>
      <c r="BW13" s="27"/>
      <c r="BX13" s="24"/>
      <c r="BY13" s="28"/>
      <c r="BZ13" s="25"/>
      <c r="CA13" s="29"/>
    </row>
    <row r="14" spans="1:79" hidden="1" x14ac:dyDescent="0.25">
      <c r="A14" s="2"/>
      <c r="B14" s="21">
        <v>1.2916666666666801</v>
      </c>
      <c r="C14" s="21">
        <v>1.3333333333333</v>
      </c>
      <c r="D14" s="22"/>
      <c r="E14" s="23"/>
      <c r="F14" s="24"/>
      <c r="G14" s="25"/>
      <c r="H14" s="26"/>
      <c r="I14" s="27"/>
      <c r="J14" s="24"/>
      <c r="K14" s="28"/>
      <c r="L14" s="25"/>
      <c r="M14" s="29"/>
      <c r="N14" s="30"/>
      <c r="O14" s="22"/>
      <c r="P14" s="23"/>
      <c r="Q14" s="24"/>
      <c r="R14" s="25"/>
      <c r="S14" s="26"/>
      <c r="T14" s="27"/>
      <c r="U14" s="24"/>
      <c r="V14" s="28"/>
      <c r="W14" s="25"/>
      <c r="X14" s="29"/>
      <c r="Y14" s="30"/>
      <c r="Z14" s="22"/>
      <c r="AA14" s="23"/>
      <c r="AB14" s="24"/>
      <c r="AC14" s="25"/>
      <c r="AD14" s="26"/>
      <c r="AE14" s="27"/>
      <c r="AF14" s="24"/>
      <c r="AG14" s="28"/>
      <c r="AH14" s="25"/>
      <c r="AI14" s="29"/>
      <c r="AJ14" s="30"/>
      <c r="AK14" s="22"/>
      <c r="AL14" s="23"/>
      <c r="AM14" s="24"/>
      <c r="AN14" s="25"/>
      <c r="AO14" s="26"/>
      <c r="AP14" s="27"/>
      <c r="AQ14" s="24"/>
      <c r="AR14" s="28"/>
      <c r="AS14" s="25"/>
      <c r="AT14" s="29"/>
      <c r="AU14" s="30"/>
      <c r="AV14" s="22"/>
      <c r="AW14" s="23"/>
      <c r="AX14" s="24"/>
      <c r="AY14" s="25"/>
      <c r="AZ14" s="26"/>
      <c r="BA14" s="27"/>
      <c r="BB14" s="24"/>
      <c r="BC14" s="28"/>
      <c r="BD14" s="25"/>
      <c r="BE14" s="29"/>
      <c r="BF14" s="30"/>
      <c r="BG14" s="22"/>
      <c r="BH14" s="23"/>
      <c r="BI14" s="24"/>
      <c r="BJ14" s="25"/>
      <c r="BK14" s="26"/>
      <c r="BL14" s="27"/>
      <c r="BM14" s="24"/>
      <c r="BN14" s="28"/>
      <c r="BO14" s="25"/>
      <c r="BP14" s="29"/>
      <c r="BQ14" s="30"/>
      <c r="BR14" s="22"/>
      <c r="BS14" s="23"/>
      <c r="BT14" s="24"/>
      <c r="BU14" s="25"/>
      <c r="BV14" s="26"/>
      <c r="BW14" s="27"/>
      <c r="BX14" s="24"/>
      <c r="BY14" s="28"/>
      <c r="BZ14" s="25"/>
      <c r="CA14" s="29"/>
    </row>
    <row r="15" spans="1:79" x14ac:dyDescent="0.25">
      <c r="B15" s="31">
        <v>0.33333333333333298</v>
      </c>
      <c r="C15" s="31">
        <v>0.375</v>
      </c>
      <c r="D15" s="32"/>
      <c r="E15" s="33"/>
      <c r="F15" s="34"/>
      <c r="G15" s="35"/>
      <c r="H15" s="36"/>
      <c r="I15" s="37"/>
      <c r="J15" s="34"/>
      <c r="K15" s="38"/>
      <c r="L15" s="35"/>
      <c r="M15" s="39"/>
      <c r="N15" s="40"/>
      <c r="O15" s="32">
        <v>1</v>
      </c>
      <c r="P15" s="33"/>
      <c r="Q15" s="34"/>
      <c r="R15" s="35"/>
      <c r="S15" s="36"/>
      <c r="T15" s="37"/>
      <c r="U15" s="34"/>
      <c r="V15" s="38"/>
      <c r="W15" s="35"/>
      <c r="X15" s="39"/>
      <c r="Y15" s="40"/>
      <c r="Z15" s="32"/>
      <c r="AA15" s="33"/>
      <c r="AB15" s="34"/>
      <c r="AC15" s="35"/>
      <c r="AD15" s="36"/>
      <c r="AE15" s="37"/>
      <c r="AF15" s="34"/>
      <c r="AG15" s="38"/>
      <c r="AH15" s="35"/>
      <c r="AI15" s="39"/>
      <c r="AJ15" s="40"/>
      <c r="AK15" s="32"/>
      <c r="AL15" s="33"/>
      <c r="AM15" s="34"/>
      <c r="AN15" s="35"/>
      <c r="AO15" s="36"/>
      <c r="AP15" s="37"/>
      <c r="AQ15" s="34"/>
      <c r="AR15" s="38"/>
      <c r="AS15" s="35"/>
      <c r="AT15" s="39"/>
      <c r="AU15" s="40"/>
      <c r="AV15" s="32"/>
      <c r="AW15" s="33"/>
      <c r="AX15" s="34"/>
      <c r="AY15" s="35"/>
      <c r="AZ15" s="36"/>
      <c r="BA15" s="37"/>
      <c r="BB15" s="34"/>
      <c r="BC15" s="38"/>
      <c r="BD15" s="35"/>
      <c r="BE15" s="39"/>
      <c r="BF15" s="40"/>
      <c r="BG15" s="32"/>
      <c r="BH15" s="33"/>
      <c r="BI15" s="34"/>
      <c r="BJ15" s="35"/>
      <c r="BK15" s="36"/>
      <c r="BL15" s="37"/>
      <c r="BM15" s="34"/>
      <c r="BN15" s="38"/>
      <c r="BO15" s="35"/>
      <c r="BP15" s="39"/>
      <c r="BQ15" s="40"/>
      <c r="BR15" s="32"/>
      <c r="BS15" s="33"/>
      <c r="BT15" s="34"/>
      <c r="BU15" s="35"/>
      <c r="BV15" s="36"/>
      <c r="BW15" s="37"/>
      <c r="BX15" s="34"/>
      <c r="BY15" s="38"/>
      <c r="BZ15" s="35"/>
      <c r="CA15" s="39"/>
    </row>
    <row r="16" spans="1:79" x14ac:dyDescent="0.25">
      <c r="B16" s="31">
        <v>0.375</v>
      </c>
      <c r="C16" s="31">
        <v>0.41666666666666702</v>
      </c>
      <c r="D16" s="32"/>
      <c r="E16" s="33"/>
      <c r="F16" s="34"/>
      <c r="G16" s="35"/>
      <c r="H16" s="36"/>
      <c r="I16" s="37"/>
      <c r="J16" s="34"/>
      <c r="K16" s="38"/>
      <c r="L16" s="35"/>
      <c r="M16" s="39"/>
      <c r="N16" s="40"/>
      <c r="O16" s="32">
        <v>0.5</v>
      </c>
      <c r="P16" s="33"/>
      <c r="Q16" s="34"/>
      <c r="R16" s="35"/>
      <c r="S16" s="36"/>
      <c r="T16" s="37"/>
      <c r="U16" s="34"/>
      <c r="V16" s="38"/>
      <c r="W16" s="35"/>
      <c r="X16" s="39"/>
      <c r="Y16" s="40"/>
      <c r="Z16" s="32"/>
      <c r="AA16" s="33"/>
      <c r="AB16" s="34"/>
      <c r="AC16" s="35"/>
      <c r="AD16" s="36"/>
      <c r="AE16" s="37"/>
      <c r="AF16" s="34"/>
      <c r="AG16" s="38"/>
      <c r="AH16" s="35"/>
      <c r="AI16" s="39"/>
      <c r="AJ16" s="40"/>
      <c r="AK16" s="32"/>
      <c r="AL16" s="33"/>
      <c r="AM16" s="34"/>
      <c r="AN16" s="35"/>
      <c r="AO16" s="36"/>
      <c r="AP16" s="37"/>
      <c r="AQ16" s="34"/>
      <c r="AR16" s="38"/>
      <c r="AS16" s="35"/>
      <c r="AT16" s="39"/>
      <c r="AU16" s="40"/>
      <c r="AV16" s="32"/>
      <c r="AW16" s="33"/>
      <c r="AX16" s="34"/>
      <c r="AY16" s="35"/>
      <c r="AZ16" s="36"/>
      <c r="BA16" s="37"/>
      <c r="BB16" s="34"/>
      <c r="BC16" s="38"/>
      <c r="BD16" s="35"/>
      <c r="BE16" s="39"/>
      <c r="BF16" s="40"/>
      <c r="BG16" s="32"/>
      <c r="BH16" s="33"/>
      <c r="BI16" s="34"/>
      <c r="BJ16" s="35"/>
      <c r="BK16" s="36"/>
      <c r="BL16" s="37"/>
      <c r="BM16" s="34"/>
      <c r="BN16" s="38"/>
      <c r="BO16" s="35"/>
      <c r="BP16" s="39"/>
      <c r="BQ16" s="40"/>
      <c r="BR16" s="32"/>
      <c r="BS16" s="33"/>
      <c r="BT16" s="34"/>
      <c r="BU16" s="35"/>
      <c r="BV16" s="36"/>
      <c r="BW16" s="37"/>
      <c r="BX16" s="34"/>
      <c r="BY16" s="38"/>
      <c r="BZ16" s="35"/>
      <c r="CA16" s="39"/>
    </row>
    <row r="17" spans="1:79" x14ac:dyDescent="0.25">
      <c r="A17" s="2"/>
      <c r="B17" s="31">
        <v>0.41666666666666669</v>
      </c>
      <c r="C17" s="31">
        <v>0.45833333333333331</v>
      </c>
      <c r="D17" s="32"/>
      <c r="E17" s="33"/>
      <c r="F17" s="34"/>
      <c r="G17" s="35">
        <v>1</v>
      </c>
      <c r="H17" s="36"/>
      <c r="I17" s="37"/>
      <c r="J17" s="34"/>
      <c r="K17" s="38"/>
      <c r="L17" s="35"/>
      <c r="M17" s="39"/>
      <c r="N17" s="40"/>
      <c r="O17" s="32">
        <v>1</v>
      </c>
      <c r="P17" s="33"/>
      <c r="Q17" s="34"/>
      <c r="R17" s="35"/>
      <c r="S17" s="36"/>
      <c r="T17" s="37"/>
      <c r="U17" s="34"/>
      <c r="V17" s="38"/>
      <c r="W17" s="35"/>
      <c r="X17" s="39"/>
      <c r="Y17" s="40"/>
      <c r="Z17" s="32"/>
      <c r="AA17" s="33"/>
      <c r="AB17" s="34">
        <v>1</v>
      </c>
      <c r="AC17" s="35"/>
      <c r="AD17" s="36"/>
      <c r="AE17" s="37"/>
      <c r="AF17" s="34"/>
      <c r="AG17" s="38"/>
      <c r="AH17" s="35"/>
      <c r="AI17" s="39"/>
      <c r="AJ17" s="40"/>
      <c r="AK17" s="32">
        <v>1</v>
      </c>
      <c r="AL17" s="33"/>
      <c r="AM17" s="34"/>
      <c r="AN17" s="35"/>
      <c r="AO17" s="36"/>
      <c r="AP17" s="37"/>
      <c r="AQ17" s="34"/>
      <c r="AR17" s="38"/>
      <c r="AS17" s="35"/>
      <c r="AT17" s="39"/>
      <c r="AU17" s="40"/>
      <c r="AV17" s="32"/>
      <c r="AW17" s="33"/>
      <c r="AX17" s="34"/>
      <c r="AY17" s="35">
        <v>1</v>
      </c>
      <c r="AZ17" s="36"/>
      <c r="BA17" s="37"/>
      <c r="BB17" s="34"/>
      <c r="BC17" s="38"/>
      <c r="BD17" s="35"/>
      <c r="BE17" s="39"/>
      <c r="BF17" s="40"/>
      <c r="BG17" s="32">
        <v>1</v>
      </c>
      <c r="BH17" s="33"/>
      <c r="BI17" s="34"/>
      <c r="BJ17" s="35"/>
      <c r="BK17" s="36"/>
      <c r="BL17" s="37"/>
      <c r="BM17" s="34"/>
      <c r="BN17" s="38"/>
      <c r="BO17" s="35"/>
      <c r="BP17" s="39"/>
      <c r="BQ17" s="40"/>
      <c r="BR17" s="32"/>
      <c r="BS17" s="33"/>
      <c r="BT17" s="34">
        <v>1</v>
      </c>
      <c r="BU17" s="35"/>
      <c r="BV17" s="36"/>
      <c r="BW17" s="37"/>
      <c r="BX17" s="34"/>
      <c r="BY17" s="38"/>
      <c r="BZ17" s="35"/>
      <c r="CA17" s="39"/>
    </row>
    <row r="18" spans="1:79" ht="15" customHeight="1" x14ac:dyDescent="0.25">
      <c r="A18" s="2"/>
      <c r="B18" s="31">
        <v>0.45833333333333331</v>
      </c>
      <c r="C18" s="31">
        <v>0.5</v>
      </c>
      <c r="D18" s="32"/>
      <c r="E18" s="33"/>
      <c r="F18" s="34"/>
      <c r="G18" s="35">
        <v>1</v>
      </c>
      <c r="H18" s="36"/>
      <c r="I18" s="37"/>
      <c r="J18" s="34"/>
      <c r="K18" s="38"/>
      <c r="L18" s="35"/>
      <c r="M18" s="39"/>
      <c r="N18" s="40"/>
      <c r="O18" s="32">
        <v>1</v>
      </c>
      <c r="P18" s="33"/>
      <c r="Q18" s="34"/>
      <c r="R18" s="35"/>
      <c r="S18" s="36"/>
      <c r="T18" s="37"/>
      <c r="U18" s="34"/>
      <c r="V18" s="38"/>
      <c r="W18" s="35"/>
      <c r="X18" s="39"/>
      <c r="Y18" s="40"/>
      <c r="Z18" s="32"/>
      <c r="AA18" s="33"/>
      <c r="AB18" s="34">
        <v>1</v>
      </c>
      <c r="AC18" s="35"/>
      <c r="AD18" s="36"/>
      <c r="AE18" s="37"/>
      <c r="AF18" s="34"/>
      <c r="AG18" s="38"/>
      <c r="AH18" s="35"/>
      <c r="AI18" s="39"/>
      <c r="AJ18" s="40"/>
      <c r="AK18" s="32">
        <v>1</v>
      </c>
      <c r="AL18" s="33"/>
      <c r="AM18" s="34"/>
      <c r="AN18" s="35"/>
      <c r="AO18" s="36"/>
      <c r="AP18" s="37"/>
      <c r="AQ18" s="34"/>
      <c r="AR18" s="38"/>
      <c r="AS18" s="35"/>
      <c r="AT18" s="39"/>
      <c r="AU18" s="40"/>
      <c r="AV18" s="32"/>
      <c r="AW18" s="33"/>
      <c r="AX18" s="34"/>
      <c r="AY18" s="35">
        <v>1</v>
      </c>
      <c r="AZ18" s="36"/>
      <c r="BA18" s="37"/>
      <c r="BB18" s="34"/>
      <c r="BC18" s="38"/>
      <c r="BD18" s="35"/>
      <c r="BE18" s="39"/>
      <c r="BF18" s="40"/>
      <c r="BG18" s="32">
        <v>1</v>
      </c>
      <c r="BH18" s="33"/>
      <c r="BI18" s="34"/>
      <c r="BJ18" s="35"/>
      <c r="BK18" s="36"/>
      <c r="BL18" s="37"/>
      <c r="BM18" s="34"/>
      <c r="BN18" s="38"/>
      <c r="BO18" s="35"/>
      <c r="BP18" s="39"/>
      <c r="BQ18" s="40"/>
      <c r="BR18" s="32"/>
      <c r="BS18" s="33"/>
      <c r="BT18" s="34">
        <v>1</v>
      </c>
      <c r="BU18" s="35"/>
      <c r="BV18" s="36"/>
      <c r="BW18" s="37"/>
      <c r="BX18" s="34"/>
      <c r="BY18" s="38"/>
      <c r="BZ18" s="35"/>
      <c r="CA18" s="39"/>
    </row>
    <row r="19" spans="1:79" x14ac:dyDescent="0.25">
      <c r="A19" s="2"/>
      <c r="B19" s="31">
        <v>0.5</v>
      </c>
      <c r="C19" s="31">
        <v>0.54166666666666663</v>
      </c>
      <c r="D19" s="32">
        <v>1</v>
      </c>
      <c r="E19" s="33"/>
      <c r="F19" s="34"/>
      <c r="G19" s="35">
        <v>1</v>
      </c>
      <c r="H19" s="36"/>
      <c r="I19" s="37"/>
      <c r="J19" s="34"/>
      <c r="K19" s="38"/>
      <c r="L19" s="35"/>
      <c r="M19" s="39"/>
      <c r="N19" s="40"/>
      <c r="O19" s="32">
        <v>1</v>
      </c>
      <c r="P19" s="33"/>
      <c r="Q19" s="34"/>
      <c r="R19" s="35"/>
      <c r="S19" s="36"/>
      <c r="T19" s="37"/>
      <c r="U19" s="34"/>
      <c r="V19" s="38"/>
      <c r="W19" s="35"/>
      <c r="X19" s="39"/>
      <c r="Y19" s="40"/>
      <c r="Z19" s="32"/>
      <c r="AA19" s="33"/>
      <c r="AB19" s="34">
        <v>1</v>
      </c>
      <c r="AC19" s="35"/>
      <c r="AD19" s="36"/>
      <c r="AE19" s="37"/>
      <c r="AF19" s="34"/>
      <c r="AG19" s="38"/>
      <c r="AH19" s="35"/>
      <c r="AI19" s="39"/>
      <c r="AJ19" s="40"/>
      <c r="AK19" s="32">
        <v>1</v>
      </c>
      <c r="AL19" s="33"/>
      <c r="AM19" s="34"/>
      <c r="AN19" s="35"/>
      <c r="AO19" s="36"/>
      <c r="AP19" s="37"/>
      <c r="AQ19" s="34"/>
      <c r="AR19" s="38"/>
      <c r="AS19" s="35"/>
      <c r="AT19" s="39"/>
      <c r="AU19" s="40"/>
      <c r="AV19" s="32"/>
      <c r="AW19" s="33"/>
      <c r="AX19" s="34"/>
      <c r="AY19" s="35">
        <v>1</v>
      </c>
      <c r="AZ19" s="36"/>
      <c r="BA19" s="37"/>
      <c r="BB19" s="34"/>
      <c r="BC19" s="38"/>
      <c r="BD19" s="35"/>
      <c r="BE19" s="39"/>
      <c r="BF19" s="40"/>
      <c r="BG19" s="32">
        <v>1</v>
      </c>
      <c r="BH19" s="33"/>
      <c r="BI19" s="34"/>
      <c r="BJ19" s="35">
        <v>1</v>
      </c>
      <c r="BK19" s="36"/>
      <c r="BL19" s="37"/>
      <c r="BM19" s="34"/>
      <c r="BN19" s="38"/>
      <c r="BO19" s="35"/>
      <c r="BP19" s="39"/>
      <c r="BQ19" s="40"/>
      <c r="BR19" s="32"/>
      <c r="BS19" s="33"/>
      <c r="BT19" s="34">
        <v>1</v>
      </c>
      <c r="BU19" s="35"/>
      <c r="BV19" s="36"/>
      <c r="BW19" s="37"/>
      <c r="BX19" s="34"/>
      <c r="BY19" s="38"/>
      <c r="BZ19" s="35"/>
      <c r="CA19" s="39"/>
    </row>
    <row r="20" spans="1:79" ht="15" customHeight="1" x14ac:dyDescent="0.25">
      <c r="A20" s="2"/>
      <c r="B20" s="31">
        <v>0.54166666666666663</v>
      </c>
      <c r="C20" s="31">
        <v>0.58333333333333304</v>
      </c>
      <c r="D20" s="32">
        <v>1</v>
      </c>
      <c r="E20" s="33"/>
      <c r="F20" s="34"/>
      <c r="G20" s="35">
        <v>1</v>
      </c>
      <c r="H20" s="36"/>
      <c r="I20" s="37"/>
      <c r="J20" s="34"/>
      <c r="K20" s="38"/>
      <c r="L20" s="35"/>
      <c r="M20" s="39"/>
      <c r="N20" s="41"/>
      <c r="O20" s="32">
        <v>1</v>
      </c>
      <c r="P20" s="33"/>
      <c r="Q20" s="34">
        <v>1</v>
      </c>
      <c r="R20" s="35"/>
      <c r="S20" s="36"/>
      <c r="T20" s="37"/>
      <c r="U20" s="34"/>
      <c r="V20" s="38"/>
      <c r="W20" s="35"/>
      <c r="X20" s="39"/>
      <c r="Y20" s="41"/>
      <c r="Z20" s="32"/>
      <c r="AA20" s="33"/>
      <c r="AB20" s="34">
        <v>1</v>
      </c>
      <c r="AC20" s="35">
        <v>1</v>
      </c>
      <c r="AD20" s="36"/>
      <c r="AE20" s="37"/>
      <c r="AF20" s="34"/>
      <c r="AG20" s="38"/>
      <c r="AH20" s="35"/>
      <c r="AI20" s="39"/>
      <c r="AJ20" s="41"/>
      <c r="AK20" s="32"/>
      <c r="AL20" s="33"/>
      <c r="AM20" s="42"/>
      <c r="AN20" s="35"/>
      <c r="AO20" s="36"/>
      <c r="AP20" s="37"/>
      <c r="AQ20" s="34"/>
      <c r="AR20" s="38"/>
      <c r="AS20" s="35"/>
      <c r="AT20" s="39"/>
      <c r="AU20" s="41"/>
      <c r="AV20" s="32">
        <v>1</v>
      </c>
      <c r="AW20" s="33"/>
      <c r="AX20" s="34"/>
      <c r="AY20" s="35"/>
      <c r="AZ20" s="36"/>
      <c r="BA20" s="37"/>
      <c r="BB20" s="34"/>
      <c r="BC20" s="38"/>
      <c r="BD20" s="35"/>
      <c r="BE20" s="39"/>
      <c r="BF20" s="41"/>
      <c r="BG20" s="32">
        <v>1</v>
      </c>
      <c r="BH20" s="33"/>
      <c r="BI20" s="34"/>
      <c r="BJ20" s="35">
        <v>1</v>
      </c>
      <c r="BK20" s="36"/>
      <c r="BL20" s="37"/>
      <c r="BM20" s="34"/>
      <c r="BN20" s="38"/>
      <c r="BO20" s="35"/>
      <c r="BP20" s="39"/>
      <c r="BQ20" s="41"/>
      <c r="BR20" s="32">
        <v>0.5</v>
      </c>
      <c r="BS20" s="33"/>
      <c r="BT20" s="34"/>
      <c r="BU20" s="35">
        <v>1</v>
      </c>
      <c r="BV20" s="36"/>
      <c r="BW20" s="37"/>
      <c r="BX20" s="34"/>
      <c r="BY20" s="38"/>
      <c r="BZ20" s="35"/>
      <c r="CA20" s="39"/>
    </row>
    <row r="21" spans="1:79" ht="15" customHeight="1" x14ac:dyDescent="0.25">
      <c r="A21" s="2" t="s">
        <v>8</v>
      </c>
      <c r="B21" s="31">
        <v>0.58333333333333304</v>
      </c>
      <c r="C21" s="31">
        <v>0.625</v>
      </c>
      <c r="D21" s="32">
        <v>1</v>
      </c>
      <c r="E21" s="33"/>
      <c r="F21" s="34"/>
      <c r="G21" s="35"/>
      <c r="H21" s="36"/>
      <c r="I21" s="37"/>
      <c r="J21" s="34"/>
      <c r="K21" s="38"/>
      <c r="L21" s="35"/>
      <c r="M21" s="39"/>
      <c r="N21" s="40"/>
      <c r="O21" s="32"/>
      <c r="P21" s="33"/>
      <c r="Q21" s="34">
        <v>1</v>
      </c>
      <c r="R21" s="35"/>
      <c r="S21" s="36"/>
      <c r="T21" s="37"/>
      <c r="U21" s="34"/>
      <c r="V21" s="38"/>
      <c r="W21" s="35"/>
      <c r="X21" s="39"/>
      <c r="Y21" s="40"/>
      <c r="Z21" s="32"/>
      <c r="AA21" s="33"/>
      <c r="AB21" s="34"/>
      <c r="AC21" s="35">
        <v>1</v>
      </c>
      <c r="AD21" s="36"/>
      <c r="AE21" s="37"/>
      <c r="AF21" s="34"/>
      <c r="AG21" s="38"/>
      <c r="AH21" s="35"/>
      <c r="AI21" s="39"/>
      <c r="AJ21" s="40"/>
      <c r="AK21" s="32">
        <v>1</v>
      </c>
      <c r="AL21" s="33"/>
      <c r="AM21" s="42"/>
      <c r="AN21" s="35">
        <v>1</v>
      </c>
      <c r="AO21" s="36"/>
      <c r="AP21" s="37"/>
      <c r="AQ21" s="34"/>
      <c r="AR21" s="38"/>
      <c r="AS21" s="35"/>
      <c r="AT21" s="39"/>
      <c r="AU21" s="40"/>
      <c r="AV21" s="32">
        <v>1</v>
      </c>
      <c r="AW21" s="33"/>
      <c r="AX21" s="42"/>
      <c r="AY21" s="35">
        <v>1</v>
      </c>
      <c r="AZ21" s="36"/>
      <c r="BA21" s="37"/>
      <c r="BB21" s="34"/>
      <c r="BC21" s="38"/>
      <c r="BD21" s="35"/>
      <c r="BE21" s="39"/>
      <c r="BF21" s="40"/>
      <c r="BG21" s="32"/>
      <c r="BH21" s="33"/>
      <c r="BI21" s="34">
        <v>1</v>
      </c>
      <c r="BJ21" s="35"/>
      <c r="BK21" s="36"/>
      <c r="BL21" s="37"/>
      <c r="BM21" s="34"/>
      <c r="BN21" s="38"/>
      <c r="BO21" s="35"/>
      <c r="BP21" s="39"/>
      <c r="BQ21" s="40"/>
      <c r="BR21" s="32">
        <v>1</v>
      </c>
      <c r="BS21" s="33"/>
      <c r="BT21" s="34">
        <v>1</v>
      </c>
      <c r="BU21" s="35">
        <v>1</v>
      </c>
      <c r="BV21" s="36"/>
      <c r="BW21" s="37"/>
      <c r="BX21" s="34"/>
      <c r="BY21" s="38"/>
      <c r="BZ21" s="35"/>
      <c r="CA21" s="39"/>
    </row>
    <row r="22" spans="1:79" ht="15" customHeight="1" x14ac:dyDescent="0.25">
      <c r="A22" s="2"/>
      <c r="B22" s="31">
        <v>0.625</v>
      </c>
      <c r="C22" s="31">
        <v>0.66666666666666696</v>
      </c>
      <c r="D22" s="32"/>
      <c r="E22" s="33"/>
      <c r="F22" s="34"/>
      <c r="G22" s="35">
        <v>1</v>
      </c>
      <c r="H22" s="36"/>
      <c r="I22" s="37"/>
      <c r="J22" s="34"/>
      <c r="K22" s="38"/>
      <c r="L22" s="35"/>
      <c r="M22" s="39"/>
      <c r="N22" s="40"/>
      <c r="O22" s="32">
        <v>1</v>
      </c>
      <c r="P22" s="33"/>
      <c r="Q22" s="34"/>
      <c r="R22" s="35"/>
      <c r="S22" s="36"/>
      <c r="T22" s="37"/>
      <c r="U22" s="34"/>
      <c r="V22" s="38"/>
      <c r="W22" s="35"/>
      <c r="X22" s="39"/>
      <c r="Y22" s="40"/>
      <c r="Z22" s="32"/>
      <c r="AA22" s="33"/>
      <c r="AB22" s="34">
        <v>1</v>
      </c>
      <c r="AC22" s="35"/>
      <c r="AD22" s="36"/>
      <c r="AE22" s="37"/>
      <c r="AF22" s="34"/>
      <c r="AG22" s="38"/>
      <c r="AH22" s="35"/>
      <c r="AI22" s="39"/>
      <c r="AJ22" s="40"/>
      <c r="AK22" s="32">
        <v>1</v>
      </c>
      <c r="AL22" s="33"/>
      <c r="AM22" s="34"/>
      <c r="AN22" s="35">
        <v>1</v>
      </c>
      <c r="AO22" s="36"/>
      <c r="AP22" s="37"/>
      <c r="AQ22" s="34"/>
      <c r="AR22" s="38"/>
      <c r="AS22" s="35"/>
      <c r="AT22" s="39"/>
      <c r="AU22" s="40"/>
      <c r="AV22" s="32"/>
      <c r="AW22" s="33"/>
      <c r="AX22" s="42"/>
      <c r="AY22" s="35">
        <v>1</v>
      </c>
      <c r="AZ22" s="36"/>
      <c r="BA22" s="37"/>
      <c r="BB22" s="34"/>
      <c r="BC22" s="38"/>
      <c r="BD22" s="35"/>
      <c r="BE22" s="39"/>
      <c r="BF22" s="40"/>
      <c r="BG22" s="32">
        <v>1</v>
      </c>
      <c r="BH22" s="33"/>
      <c r="BI22" s="34">
        <v>1</v>
      </c>
      <c r="BJ22" s="35">
        <v>1</v>
      </c>
      <c r="BK22" s="36"/>
      <c r="BL22" s="37"/>
      <c r="BM22" s="34"/>
      <c r="BN22" s="38"/>
      <c r="BO22" s="35"/>
      <c r="BP22" s="39"/>
      <c r="BQ22" s="40"/>
      <c r="BR22" s="32">
        <v>1</v>
      </c>
      <c r="BS22" s="33"/>
      <c r="BT22" s="34">
        <v>1</v>
      </c>
      <c r="BU22" s="35"/>
      <c r="BV22" s="36"/>
      <c r="BW22" s="37"/>
      <c r="BX22" s="34"/>
      <c r="BY22" s="38"/>
      <c r="BZ22" s="35"/>
      <c r="CA22" s="39"/>
    </row>
    <row r="23" spans="1:79" x14ac:dyDescent="0.25">
      <c r="A23" s="2"/>
      <c r="B23" s="31">
        <v>0.66666666666666696</v>
      </c>
      <c r="C23" s="31">
        <v>0.70833333333333304</v>
      </c>
      <c r="D23" s="32">
        <v>1</v>
      </c>
      <c r="E23" s="33"/>
      <c r="F23" s="34"/>
      <c r="G23" s="35">
        <v>1</v>
      </c>
      <c r="H23" s="36"/>
      <c r="I23" s="37"/>
      <c r="J23" s="34"/>
      <c r="K23" s="38"/>
      <c r="L23" s="35"/>
      <c r="M23" s="39"/>
      <c r="N23" s="40"/>
      <c r="O23" s="32">
        <v>1</v>
      </c>
      <c r="P23" s="33"/>
      <c r="Q23" s="34">
        <v>1</v>
      </c>
      <c r="R23" s="35"/>
      <c r="S23" s="36"/>
      <c r="T23" s="37"/>
      <c r="U23" s="34"/>
      <c r="V23" s="38"/>
      <c r="W23" s="35"/>
      <c r="X23" s="39"/>
      <c r="Y23" s="40"/>
      <c r="Z23" s="32"/>
      <c r="AA23" s="33"/>
      <c r="AB23" s="34">
        <v>1</v>
      </c>
      <c r="AC23" s="35">
        <v>1</v>
      </c>
      <c r="AD23" s="36"/>
      <c r="AE23" s="37"/>
      <c r="AF23" s="34"/>
      <c r="AG23" s="38"/>
      <c r="AH23" s="35"/>
      <c r="AI23" s="39"/>
      <c r="AJ23" s="40"/>
      <c r="AK23" s="32">
        <v>1</v>
      </c>
      <c r="AL23" s="33"/>
      <c r="AM23" s="42"/>
      <c r="AN23" s="35"/>
      <c r="AO23" s="36"/>
      <c r="AP23" s="37"/>
      <c r="AQ23" s="34"/>
      <c r="AR23" s="38"/>
      <c r="AS23" s="35"/>
      <c r="AT23" s="39"/>
      <c r="AU23" s="40"/>
      <c r="AV23" s="32">
        <v>1</v>
      </c>
      <c r="AW23" s="33"/>
      <c r="AX23" s="34"/>
      <c r="AY23" s="35">
        <v>1</v>
      </c>
      <c r="AZ23" s="36"/>
      <c r="BA23" s="37"/>
      <c r="BB23" s="34"/>
      <c r="BC23" s="38"/>
      <c r="BD23" s="35"/>
      <c r="BE23" s="39"/>
      <c r="BF23" s="40"/>
      <c r="BG23" s="32">
        <v>1</v>
      </c>
      <c r="BH23" s="33"/>
      <c r="BI23" s="34"/>
      <c r="BJ23" s="35">
        <v>1</v>
      </c>
      <c r="BK23" s="36"/>
      <c r="BL23" s="37"/>
      <c r="BM23" s="34"/>
      <c r="BN23" s="38"/>
      <c r="BO23" s="35"/>
      <c r="BP23" s="39"/>
      <c r="BQ23" s="40"/>
      <c r="BR23" s="32"/>
      <c r="BS23" s="33"/>
      <c r="BT23" s="34">
        <v>1</v>
      </c>
      <c r="BU23" s="35">
        <v>1</v>
      </c>
      <c r="BV23" s="36"/>
      <c r="BW23" s="37"/>
      <c r="BX23" s="34"/>
      <c r="BY23" s="38"/>
      <c r="BZ23" s="35"/>
      <c r="CA23" s="39"/>
    </row>
    <row r="24" spans="1:79" x14ac:dyDescent="0.25">
      <c r="B24" s="31">
        <v>0.70833333333333337</v>
      </c>
      <c r="C24" s="31">
        <v>0.75</v>
      </c>
      <c r="D24" s="32">
        <v>1</v>
      </c>
      <c r="E24" s="33"/>
      <c r="F24" s="34"/>
      <c r="G24" s="35">
        <v>1</v>
      </c>
      <c r="H24" s="36"/>
      <c r="I24" s="37"/>
      <c r="J24" s="34"/>
      <c r="K24" s="38"/>
      <c r="L24" s="35"/>
      <c r="M24" s="39"/>
      <c r="N24" s="40"/>
      <c r="O24" s="32">
        <v>1</v>
      </c>
      <c r="P24" s="33"/>
      <c r="Q24" s="34">
        <v>1</v>
      </c>
      <c r="R24" s="35"/>
      <c r="S24" s="36"/>
      <c r="T24" s="37"/>
      <c r="U24" s="34"/>
      <c r="V24" s="38"/>
      <c r="W24" s="35"/>
      <c r="X24" s="39"/>
      <c r="Y24" s="40"/>
      <c r="Z24" s="32"/>
      <c r="AA24" s="33"/>
      <c r="AB24" s="34">
        <v>1</v>
      </c>
      <c r="AC24" s="35">
        <v>1</v>
      </c>
      <c r="AD24" s="36"/>
      <c r="AE24" s="37"/>
      <c r="AF24" s="34"/>
      <c r="AG24" s="38"/>
      <c r="AH24" s="35"/>
      <c r="AI24" s="39"/>
      <c r="AJ24" s="40"/>
      <c r="AK24" s="32">
        <v>1</v>
      </c>
      <c r="AL24" s="33"/>
      <c r="AM24" s="42"/>
      <c r="AN24" s="35">
        <v>1</v>
      </c>
      <c r="AO24" s="36"/>
      <c r="AP24" s="37"/>
      <c r="AQ24" s="34"/>
      <c r="AR24" s="38"/>
      <c r="AS24" s="35"/>
      <c r="AT24" s="39"/>
      <c r="AU24" s="40"/>
      <c r="AV24" s="32">
        <v>1</v>
      </c>
      <c r="AW24" s="33"/>
      <c r="AX24" s="42"/>
      <c r="AY24" s="35">
        <v>1</v>
      </c>
      <c r="AZ24" s="36"/>
      <c r="BA24" s="37"/>
      <c r="BB24" s="34"/>
      <c r="BC24" s="38"/>
      <c r="BD24" s="35"/>
      <c r="BE24" s="39"/>
      <c r="BF24" s="40"/>
      <c r="BG24" s="32">
        <v>1</v>
      </c>
      <c r="BH24" s="33"/>
      <c r="BI24" s="34">
        <v>1</v>
      </c>
      <c r="BJ24" s="35">
        <v>1</v>
      </c>
      <c r="BK24" s="36"/>
      <c r="BL24" s="37"/>
      <c r="BM24" s="34"/>
      <c r="BN24" s="38"/>
      <c r="BO24" s="35"/>
      <c r="BP24" s="39"/>
      <c r="BQ24" s="40"/>
      <c r="BR24" s="32">
        <v>1</v>
      </c>
      <c r="BS24" s="33"/>
      <c r="BT24" s="34">
        <v>1</v>
      </c>
      <c r="BU24" s="35">
        <v>1</v>
      </c>
      <c r="BV24" s="36"/>
      <c r="BW24" s="37"/>
      <c r="BX24" s="34"/>
      <c r="BY24" s="38"/>
      <c r="BZ24" s="35"/>
      <c r="CA24" s="39"/>
    </row>
    <row r="25" spans="1:79" x14ac:dyDescent="0.25">
      <c r="A25" s="2"/>
      <c r="B25" s="31">
        <v>0.75</v>
      </c>
      <c r="C25" s="31">
        <v>0.79166666666666696</v>
      </c>
      <c r="D25" s="32">
        <v>1</v>
      </c>
      <c r="E25" s="33"/>
      <c r="F25" s="34"/>
      <c r="G25" s="35">
        <v>1</v>
      </c>
      <c r="H25" s="36"/>
      <c r="I25" s="37"/>
      <c r="J25" s="34"/>
      <c r="K25" s="38"/>
      <c r="L25" s="35"/>
      <c r="M25" s="39"/>
      <c r="N25" s="40"/>
      <c r="O25" s="32">
        <v>1</v>
      </c>
      <c r="P25" s="33"/>
      <c r="Q25" s="34">
        <v>1</v>
      </c>
      <c r="R25" s="35"/>
      <c r="S25" s="36"/>
      <c r="T25" s="37"/>
      <c r="U25" s="34"/>
      <c r="V25" s="38"/>
      <c r="W25" s="35"/>
      <c r="X25" s="39"/>
      <c r="Y25" s="40"/>
      <c r="Z25" s="32"/>
      <c r="AA25" s="33"/>
      <c r="AB25" s="34">
        <v>1</v>
      </c>
      <c r="AC25" s="35">
        <v>1</v>
      </c>
      <c r="AD25" s="36"/>
      <c r="AE25" s="37"/>
      <c r="AF25" s="34"/>
      <c r="AG25" s="38"/>
      <c r="AH25" s="35"/>
      <c r="AI25" s="39"/>
      <c r="AJ25" s="40"/>
      <c r="AK25" s="32"/>
      <c r="AL25" s="33"/>
      <c r="AM25" s="42"/>
      <c r="AN25" s="35">
        <v>1</v>
      </c>
      <c r="AO25" s="36"/>
      <c r="AP25" s="37"/>
      <c r="AQ25" s="34"/>
      <c r="AR25" s="38"/>
      <c r="AS25" s="35"/>
      <c r="AT25" s="39"/>
      <c r="AU25" s="40"/>
      <c r="AV25" s="32">
        <v>1</v>
      </c>
      <c r="AW25" s="33"/>
      <c r="AX25" s="42"/>
      <c r="AY25" s="35">
        <v>1</v>
      </c>
      <c r="AZ25" s="36"/>
      <c r="BA25" s="37"/>
      <c r="BB25" s="34"/>
      <c r="BC25" s="38"/>
      <c r="BD25" s="35"/>
      <c r="BE25" s="39"/>
      <c r="BF25" s="40"/>
      <c r="BG25" s="32">
        <v>1</v>
      </c>
      <c r="BH25" s="33"/>
      <c r="BI25" s="34">
        <v>1</v>
      </c>
      <c r="BJ25" s="35">
        <v>1</v>
      </c>
      <c r="BK25" s="36"/>
      <c r="BL25" s="37"/>
      <c r="BM25" s="34"/>
      <c r="BN25" s="38"/>
      <c r="BO25" s="35"/>
      <c r="BP25" s="39"/>
      <c r="BQ25" s="40"/>
      <c r="BR25" s="32">
        <v>1</v>
      </c>
      <c r="BS25" s="33"/>
      <c r="BT25" s="34"/>
      <c r="BU25" s="35">
        <v>1</v>
      </c>
      <c r="BV25" s="36"/>
      <c r="BW25" s="37"/>
      <c r="BX25" s="34"/>
      <c r="BY25" s="38"/>
      <c r="BZ25" s="35"/>
      <c r="CA25" s="39"/>
    </row>
    <row r="26" spans="1:79" x14ac:dyDescent="0.25">
      <c r="A26" s="2"/>
      <c r="B26" s="31">
        <v>0.79166666666666696</v>
      </c>
      <c r="C26" s="31">
        <v>0.83333333333333304</v>
      </c>
      <c r="D26" s="32">
        <v>1</v>
      </c>
      <c r="E26" s="33"/>
      <c r="F26" s="34"/>
      <c r="G26" s="35">
        <v>1</v>
      </c>
      <c r="H26" s="36"/>
      <c r="I26" s="37"/>
      <c r="J26" s="34"/>
      <c r="K26" s="38"/>
      <c r="L26" s="35"/>
      <c r="M26" s="39"/>
      <c r="N26" s="40"/>
      <c r="O26" s="32">
        <v>1</v>
      </c>
      <c r="P26" s="33"/>
      <c r="Q26" s="34">
        <v>1</v>
      </c>
      <c r="R26" s="35"/>
      <c r="S26" s="36"/>
      <c r="T26" s="37"/>
      <c r="U26" s="34"/>
      <c r="V26" s="38"/>
      <c r="W26" s="35"/>
      <c r="X26" s="39"/>
      <c r="Y26" s="40"/>
      <c r="Z26" s="32"/>
      <c r="AA26" s="33"/>
      <c r="AB26" s="34">
        <v>1</v>
      </c>
      <c r="AC26" s="35">
        <v>1</v>
      </c>
      <c r="AD26" s="36"/>
      <c r="AE26" s="37"/>
      <c r="AF26" s="34"/>
      <c r="AG26" s="38"/>
      <c r="AH26" s="35"/>
      <c r="AI26" s="39"/>
      <c r="AJ26" s="40"/>
      <c r="AK26" s="32"/>
      <c r="AL26" s="33"/>
      <c r="AM26" s="42"/>
      <c r="AN26" s="35">
        <v>1</v>
      </c>
      <c r="AO26" s="36"/>
      <c r="AP26" s="37"/>
      <c r="AQ26" s="34"/>
      <c r="AR26" s="38"/>
      <c r="AS26" s="35"/>
      <c r="AT26" s="39"/>
      <c r="AU26" s="40"/>
      <c r="AV26" s="32">
        <v>1</v>
      </c>
      <c r="AW26" s="33"/>
      <c r="AX26" s="42"/>
      <c r="AY26" s="35">
        <v>1</v>
      </c>
      <c r="AZ26" s="36"/>
      <c r="BA26" s="37"/>
      <c r="BB26" s="34"/>
      <c r="BC26" s="38"/>
      <c r="BD26" s="35"/>
      <c r="BE26" s="39"/>
      <c r="BF26" s="40"/>
      <c r="BG26" s="32">
        <v>1</v>
      </c>
      <c r="BH26" s="33"/>
      <c r="BI26" s="34">
        <v>1</v>
      </c>
      <c r="BJ26" s="35">
        <v>1</v>
      </c>
      <c r="BK26" s="36"/>
      <c r="BL26" s="37"/>
      <c r="BM26" s="34"/>
      <c r="BN26" s="38"/>
      <c r="BO26" s="35"/>
      <c r="BP26" s="39"/>
      <c r="BQ26" s="40"/>
      <c r="BR26" s="32">
        <v>1</v>
      </c>
      <c r="BS26" s="33"/>
      <c r="BT26" s="34"/>
      <c r="BU26" s="35">
        <v>1</v>
      </c>
      <c r="BV26" s="36"/>
      <c r="BW26" s="37"/>
      <c r="BX26" s="34"/>
      <c r="BY26" s="38"/>
      <c r="BZ26" s="35"/>
      <c r="CA26" s="39"/>
    </row>
    <row r="27" spans="1:79" x14ac:dyDescent="0.25">
      <c r="A27" s="2"/>
      <c r="B27" s="31">
        <v>0.83333333333333337</v>
      </c>
      <c r="C27" s="31">
        <v>0.875</v>
      </c>
      <c r="D27" s="32">
        <v>1</v>
      </c>
      <c r="E27" s="33"/>
      <c r="F27" s="34"/>
      <c r="G27" s="35">
        <v>1</v>
      </c>
      <c r="H27" s="36"/>
      <c r="I27" s="37"/>
      <c r="J27" s="34"/>
      <c r="K27" s="38"/>
      <c r="L27" s="35"/>
      <c r="M27" s="39"/>
      <c r="N27" s="40"/>
      <c r="O27" s="32">
        <v>1</v>
      </c>
      <c r="P27" s="33"/>
      <c r="Q27" s="34">
        <v>1</v>
      </c>
      <c r="R27" s="35"/>
      <c r="S27" s="36"/>
      <c r="T27" s="37"/>
      <c r="U27" s="34"/>
      <c r="V27" s="38"/>
      <c r="W27" s="35"/>
      <c r="X27" s="39"/>
      <c r="Y27" s="40"/>
      <c r="Z27" s="32"/>
      <c r="AA27" s="33"/>
      <c r="AB27" s="34">
        <v>1</v>
      </c>
      <c r="AC27" s="35">
        <v>1</v>
      </c>
      <c r="AD27" s="36"/>
      <c r="AE27" s="37"/>
      <c r="AF27" s="34"/>
      <c r="AG27" s="38"/>
      <c r="AH27" s="35"/>
      <c r="AI27" s="39"/>
      <c r="AJ27" s="40"/>
      <c r="AK27" s="32"/>
      <c r="AL27" s="33"/>
      <c r="AM27" s="42"/>
      <c r="AN27" s="35">
        <v>1</v>
      </c>
      <c r="AO27" s="36"/>
      <c r="AP27" s="37"/>
      <c r="AQ27" s="34"/>
      <c r="AR27" s="38"/>
      <c r="AS27" s="35"/>
      <c r="AT27" s="39"/>
      <c r="AU27" s="40"/>
      <c r="AV27" s="32">
        <v>1</v>
      </c>
      <c r="AW27" s="33"/>
      <c r="AX27" s="42"/>
      <c r="AY27" s="35">
        <v>1</v>
      </c>
      <c r="AZ27" s="36"/>
      <c r="BA27" s="37"/>
      <c r="BB27" s="34"/>
      <c r="BC27" s="38"/>
      <c r="BD27" s="35"/>
      <c r="BE27" s="39"/>
      <c r="BF27" s="40"/>
      <c r="BG27" s="32">
        <v>1</v>
      </c>
      <c r="BH27" s="33"/>
      <c r="BI27" s="34">
        <v>1</v>
      </c>
      <c r="BJ27" s="35">
        <v>1</v>
      </c>
      <c r="BK27" s="36"/>
      <c r="BL27" s="37"/>
      <c r="BM27" s="34"/>
      <c r="BN27" s="38"/>
      <c r="BO27" s="35"/>
      <c r="BP27" s="39"/>
      <c r="BQ27" s="40"/>
      <c r="BR27" s="32">
        <v>1</v>
      </c>
      <c r="BS27" s="33"/>
      <c r="BT27" s="34"/>
      <c r="BU27" s="35">
        <v>1</v>
      </c>
      <c r="BV27" s="36"/>
      <c r="BW27" s="37"/>
      <c r="BX27" s="34"/>
      <c r="BY27" s="38"/>
      <c r="BZ27" s="35"/>
      <c r="CA27" s="39"/>
    </row>
    <row r="28" spans="1:79" x14ac:dyDescent="0.25">
      <c r="A28" s="2"/>
      <c r="B28" s="31">
        <v>0.875</v>
      </c>
      <c r="C28" s="31">
        <v>0.91666666666666696</v>
      </c>
      <c r="D28" s="32">
        <v>1</v>
      </c>
      <c r="E28" s="33"/>
      <c r="F28" s="34"/>
      <c r="G28" s="35">
        <v>1</v>
      </c>
      <c r="H28" s="36"/>
      <c r="I28" s="37"/>
      <c r="J28" s="34"/>
      <c r="K28" s="38"/>
      <c r="L28" s="35"/>
      <c r="M28" s="39"/>
      <c r="N28" s="40"/>
      <c r="O28" s="32">
        <v>1</v>
      </c>
      <c r="P28" s="33"/>
      <c r="Q28" s="34">
        <v>1</v>
      </c>
      <c r="R28" s="35"/>
      <c r="S28" s="36"/>
      <c r="T28" s="37"/>
      <c r="U28" s="34"/>
      <c r="V28" s="38"/>
      <c r="W28" s="35"/>
      <c r="X28" s="39"/>
      <c r="Y28" s="40"/>
      <c r="Z28" s="32"/>
      <c r="AA28" s="33"/>
      <c r="AB28" s="34">
        <v>1</v>
      </c>
      <c r="AC28" s="35">
        <v>1</v>
      </c>
      <c r="AD28" s="36"/>
      <c r="AE28" s="37"/>
      <c r="AF28" s="34"/>
      <c r="AG28" s="38"/>
      <c r="AH28" s="35"/>
      <c r="AI28" s="39"/>
      <c r="AJ28" s="40"/>
      <c r="AK28" s="32"/>
      <c r="AL28" s="33"/>
      <c r="AM28" s="42"/>
      <c r="AN28" s="35">
        <v>1</v>
      </c>
      <c r="AO28" s="36"/>
      <c r="AP28" s="37"/>
      <c r="AQ28" s="34"/>
      <c r="AR28" s="38"/>
      <c r="AS28" s="35"/>
      <c r="AT28" s="39"/>
      <c r="AU28" s="40"/>
      <c r="AV28" s="32">
        <v>1</v>
      </c>
      <c r="AW28" s="33"/>
      <c r="AX28" s="42"/>
      <c r="AY28" s="35">
        <v>1</v>
      </c>
      <c r="AZ28" s="36"/>
      <c r="BA28" s="37"/>
      <c r="BB28" s="34"/>
      <c r="BC28" s="38"/>
      <c r="BD28" s="35"/>
      <c r="BE28" s="39"/>
      <c r="BF28" s="40"/>
      <c r="BG28" s="32">
        <v>1</v>
      </c>
      <c r="BH28" s="33"/>
      <c r="BI28" s="34">
        <v>1</v>
      </c>
      <c r="BJ28" s="35">
        <v>1</v>
      </c>
      <c r="BK28" s="36"/>
      <c r="BL28" s="37"/>
      <c r="BM28" s="34"/>
      <c r="BN28" s="38"/>
      <c r="BO28" s="35"/>
      <c r="BP28" s="39"/>
      <c r="BQ28" s="40"/>
      <c r="BR28" s="32">
        <v>1</v>
      </c>
      <c r="BS28" s="33"/>
      <c r="BT28" s="34"/>
      <c r="BU28" s="35">
        <v>1</v>
      </c>
      <c r="BV28" s="36"/>
      <c r="BW28" s="37"/>
      <c r="BX28" s="34"/>
      <c r="BY28" s="38"/>
      <c r="BZ28" s="35"/>
      <c r="CA28" s="39"/>
    </row>
    <row r="29" spans="1:79" x14ac:dyDescent="0.25">
      <c r="A29" s="2"/>
      <c r="B29" s="21">
        <v>0.91666666666666596</v>
      </c>
      <c r="C29" s="21">
        <v>0.95833333333333404</v>
      </c>
      <c r="D29" s="22"/>
      <c r="E29" s="23"/>
      <c r="F29" s="24"/>
      <c r="G29" s="25"/>
      <c r="H29" s="26"/>
      <c r="I29" s="27"/>
      <c r="J29" s="24"/>
      <c r="K29" s="28"/>
      <c r="L29" s="25"/>
      <c r="M29" s="29"/>
      <c r="N29" s="30"/>
      <c r="O29" s="22"/>
      <c r="P29" s="23"/>
      <c r="Q29" s="24"/>
      <c r="R29" s="25"/>
      <c r="S29" s="26"/>
      <c r="T29" s="27"/>
      <c r="U29" s="24"/>
      <c r="V29" s="28"/>
      <c r="W29" s="25"/>
      <c r="X29" s="29"/>
      <c r="Y29" s="30"/>
      <c r="Z29" s="22"/>
      <c r="AA29" s="23"/>
      <c r="AB29" s="24"/>
      <c r="AC29" s="25"/>
      <c r="AD29" s="26"/>
      <c r="AE29" s="27"/>
      <c r="AF29" s="24"/>
      <c r="AG29" s="28"/>
      <c r="AH29" s="25"/>
      <c r="AI29" s="29"/>
      <c r="AJ29" s="30"/>
      <c r="AK29" s="22"/>
      <c r="AL29" s="23"/>
      <c r="AM29" s="24"/>
      <c r="AN29" s="25"/>
      <c r="AO29" s="26"/>
      <c r="AP29" s="27"/>
      <c r="AQ29" s="24"/>
      <c r="AR29" s="28"/>
      <c r="AS29" s="25"/>
      <c r="AT29" s="29"/>
      <c r="AU29" s="30"/>
      <c r="AV29" s="22"/>
      <c r="AW29" s="23"/>
      <c r="AX29" s="24"/>
      <c r="AY29" s="25"/>
      <c r="AZ29" s="26"/>
      <c r="BA29" s="27"/>
      <c r="BB29" s="24"/>
      <c r="BC29" s="28"/>
      <c r="BD29" s="25"/>
      <c r="BE29" s="29"/>
      <c r="BF29" s="30"/>
      <c r="BG29" s="22"/>
      <c r="BH29" s="23"/>
      <c r="BI29" s="24"/>
      <c r="BJ29" s="25"/>
      <c r="BK29" s="26"/>
      <c r="BL29" s="27"/>
      <c r="BM29" s="24"/>
      <c r="BN29" s="28"/>
      <c r="BO29" s="25"/>
      <c r="BP29" s="29"/>
      <c r="BQ29" s="30"/>
      <c r="BR29" s="22"/>
      <c r="BS29" s="23"/>
      <c r="BT29" s="24"/>
      <c r="BU29" s="25"/>
      <c r="BV29" s="26"/>
      <c r="BW29" s="27"/>
      <c r="BX29" s="24"/>
      <c r="BY29" s="28"/>
      <c r="BZ29" s="25"/>
      <c r="CA29" s="29"/>
    </row>
    <row r="30" spans="1:79" hidden="1" x14ac:dyDescent="0.25">
      <c r="A30" s="2"/>
      <c r="B30" s="21">
        <v>0.95833333333333304</v>
      </c>
      <c r="C30" s="21">
        <v>1</v>
      </c>
      <c r="D30" s="22"/>
      <c r="E30" s="23"/>
      <c r="F30" s="24"/>
      <c r="G30" s="25"/>
      <c r="H30" s="26"/>
      <c r="I30" s="27"/>
      <c r="J30" s="24"/>
      <c r="K30" s="28"/>
      <c r="L30" s="25"/>
      <c r="M30" s="29"/>
      <c r="N30" s="30"/>
      <c r="O30" s="22"/>
      <c r="P30" s="23"/>
      <c r="Q30" s="24"/>
      <c r="R30" s="25"/>
      <c r="S30" s="26"/>
      <c r="T30" s="27"/>
      <c r="U30" s="24"/>
      <c r="V30" s="28"/>
      <c r="W30" s="25"/>
      <c r="X30" s="29"/>
      <c r="Y30" s="30"/>
      <c r="Z30" s="22"/>
      <c r="AA30" s="23"/>
      <c r="AB30" s="24"/>
      <c r="AC30" s="25"/>
      <c r="AD30" s="26"/>
      <c r="AE30" s="27"/>
      <c r="AF30" s="24"/>
      <c r="AG30" s="28"/>
      <c r="AH30" s="25"/>
      <c r="AI30" s="29"/>
      <c r="AJ30" s="30"/>
      <c r="AK30" s="22"/>
      <c r="AL30" s="23"/>
      <c r="AM30" s="24"/>
      <c r="AN30" s="25"/>
      <c r="AO30" s="26"/>
      <c r="AP30" s="27"/>
      <c r="AQ30" s="24"/>
      <c r="AR30" s="28"/>
      <c r="AS30" s="25"/>
      <c r="AT30" s="29"/>
      <c r="AU30" s="30"/>
      <c r="AV30" s="22"/>
      <c r="AW30" s="23"/>
      <c r="AX30" s="24"/>
      <c r="AY30" s="25"/>
      <c r="AZ30" s="26"/>
      <c r="BA30" s="27"/>
      <c r="BB30" s="24"/>
      <c r="BC30" s="28"/>
      <c r="BD30" s="25"/>
      <c r="BE30" s="29"/>
      <c r="BF30" s="30"/>
      <c r="BG30" s="22"/>
      <c r="BH30" s="23"/>
      <c r="BI30" s="24"/>
      <c r="BJ30" s="25"/>
      <c r="BK30" s="26"/>
      <c r="BL30" s="27"/>
      <c r="BM30" s="24"/>
      <c r="BN30" s="28"/>
      <c r="BO30" s="25"/>
      <c r="BP30" s="29"/>
      <c r="BQ30" s="30"/>
      <c r="BR30" s="22"/>
      <c r="BS30" s="23"/>
      <c r="BT30" s="24"/>
      <c r="BU30" s="25"/>
      <c r="BV30" s="26"/>
      <c r="BW30" s="27"/>
      <c r="BX30" s="24"/>
      <c r="BY30" s="28"/>
      <c r="BZ30" s="25"/>
      <c r="CA30" s="29"/>
    </row>
    <row r="31" spans="1:79" ht="9" customHeight="1" x14ac:dyDescent="0.25">
      <c r="A31" s="2"/>
    </row>
    <row r="32" spans="1:79" customFormat="1" x14ac:dyDescent="0.25">
      <c r="A32" s="43"/>
      <c r="D32" s="44" t="str">
        <f>CONCATENATE("Lunes ",TEXT(DAY(C5),"00"))</f>
        <v>Lunes 03</v>
      </c>
      <c r="E32" s="44"/>
      <c r="F32" s="44"/>
      <c r="G32" s="44"/>
      <c r="H32" s="44"/>
      <c r="I32" s="44"/>
      <c r="J32" s="44"/>
      <c r="K32" s="44"/>
      <c r="L32" s="44"/>
      <c r="M32" s="44"/>
      <c r="O32" s="44" t="str">
        <f>CONCATENATE("Martes ",TEXT(DAY(C5+1),"00"))</f>
        <v>Martes 04</v>
      </c>
      <c r="P32" s="44"/>
      <c r="Q32" s="44"/>
      <c r="R32" s="44"/>
      <c r="S32" s="44"/>
      <c r="T32" s="44"/>
      <c r="U32" s="44"/>
      <c r="V32" s="44"/>
      <c r="W32" s="44"/>
      <c r="X32" s="44"/>
      <c r="Z32" s="44" t="str">
        <f>CONCATENATE("Miercoles ",TEXT(DAY(C5+2),"00"))</f>
        <v>Miercoles 05</v>
      </c>
      <c r="AA32" s="44"/>
      <c r="AB32" s="44"/>
      <c r="AC32" s="44"/>
      <c r="AD32" s="44"/>
      <c r="AE32" s="44"/>
      <c r="AF32" s="44"/>
      <c r="AG32" s="44"/>
      <c r="AH32" s="44"/>
      <c r="AI32" s="44"/>
      <c r="AK32" s="44" t="str">
        <f>CONCATENATE("Jueves ",TEXT(DAY(C5+3),"00"))</f>
        <v>Jueves 06</v>
      </c>
      <c r="AL32" s="44"/>
      <c r="AM32" s="44"/>
      <c r="AN32" s="44"/>
      <c r="AO32" s="44"/>
      <c r="AP32" s="44"/>
      <c r="AQ32" s="44"/>
      <c r="AR32" s="44"/>
      <c r="AS32" s="44"/>
      <c r="AT32" s="44"/>
      <c r="AV32" s="44" t="str">
        <f>CONCATENATE("Viernes ",TEXT(DAY(C5+4),"00"))</f>
        <v>Viernes 07</v>
      </c>
      <c r="AW32" s="44"/>
      <c r="AX32" s="44"/>
      <c r="AY32" s="44"/>
      <c r="AZ32" s="44"/>
      <c r="BA32" s="44"/>
      <c r="BB32" s="44"/>
      <c r="BC32" s="44"/>
      <c r="BD32" s="44"/>
      <c r="BE32" s="44"/>
      <c r="BG32" s="44" t="str">
        <f>CONCATENATE("Sábado ",TEXT(DAY(C5+5),"00"))</f>
        <v>Sábado 08</v>
      </c>
      <c r="BH32" s="44"/>
      <c r="BI32" s="44"/>
      <c r="BJ32" s="44"/>
      <c r="BK32" s="44"/>
      <c r="BL32" s="44"/>
      <c r="BM32" s="44"/>
      <c r="BN32" s="44"/>
      <c r="BO32" s="44"/>
      <c r="BP32" s="44"/>
      <c r="BR32" s="44" t="str">
        <f>CONCATENATE("Domingo ",TEXT(DAY(C5+6),"00"))</f>
        <v>Domingo 09</v>
      </c>
      <c r="BS32" s="44"/>
      <c r="BT32" s="44"/>
      <c r="BU32" s="44"/>
      <c r="BV32" s="44"/>
      <c r="BW32" s="44"/>
      <c r="BX32" s="44"/>
      <c r="BY32" s="44"/>
      <c r="BZ32" s="44"/>
      <c r="CA32" s="44"/>
    </row>
    <row r="33" spans="1:79" customFormat="1" ht="32.25" customHeight="1" x14ac:dyDescent="0.25">
      <c r="A33" s="43"/>
      <c r="D33" s="45" t="str">
        <f t="shared" ref="D33:M33" si="0">+D6</f>
        <v>STEFANY</v>
      </c>
      <c r="E33" s="46" t="str">
        <f t="shared" si="0"/>
        <v>ERIKA</v>
      </c>
      <c r="F33" s="47" t="str">
        <f t="shared" si="0"/>
        <v>ALISSON</v>
      </c>
      <c r="G33" s="48" t="str">
        <f t="shared" si="0"/>
        <v>FATIMA</v>
      </c>
      <c r="H33" s="49">
        <f t="shared" si="0"/>
        <v>0</v>
      </c>
      <c r="I33" s="50">
        <f t="shared" si="0"/>
        <v>0</v>
      </c>
      <c r="J33" s="47">
        <f t="shared" si="0"/>
        <v>0</v>
      </c>
      <c r="K33" s="51">
        <f t="shared" si="0"/>
        <v>0</v>
      </c>
      <c r="L33" s="48">
        <f t="shared" si="0"/>
        <v>0</v>
      </c>
      <c r="M33" s="52">
        <f t="shared" si="0"/>
        <v>0</v>
      </c>
      <c r="O33" s="45" t="str">
        <f t="shared" ref="O33:X33" si="1">+O6</f>
        <v>STEFANY</v>
      </c>
      <c r="P33" s="46" t="str">
        <f t="shared" si="1"/>
        <v>ERIKA</v>
      </c>
      <c r="Q33" s="47" t="str">
        <f t="shared" si="1"/>
        <v>ALISSON</v>
      </c>
      <c r="R33" s="48" t="str">
        <f t="shared" si="1"/>
        <v>FATIMA</v>
      </c>
      <c r="S33" s="49">
        <f t="shared" si="1"/>
        <v>0</v>
      </c>
      <c r="T33" s="50">
        <f t="shared" si="1"/>
        <v>0</v>
      </c>
      <c r="U33" s="47">
        <f t="shared" si="1"/>
        <v>0</v>
      </c>
      <c r="V33" s="51">
        <f t="shared" si="1"/>
        <v>0</v>
      </c>
      <c r="W33" s="48">
        <f t="shared" si="1"/>
        <v>0</v>
      </c>
      <c r="X33" s="52">
        <f t="shared" si="1"/>
        <v>0</v>
      </c>
      <c r="Z33" s="45" t="str">
        <f t="shared" ref="Z33:AI33" si="2">+Z6</f>
        <v>STEFANY</v>
      </c>
      <c r="AA33" s="46" t="str">
        <f t="shared" si="2"/>
        <v>ERIKA</v>
      </c>
      <c r="AB33" s="47" t="str">
        <f t="shared" si="2"/>
        <v>ALISSON</v>
      </c>
      <c r="AC33" s="48" t="str">
        <f t="shared" si="2"/>
        <v>FATIMA</v>
      </c>
      <c r="AD33" s="49">
        <f t="shared" si="2"/>
        <v>0</v>
      </c>
      <c r="AE33" s="50">
        <f t="shared" si="2"/>
        <v>0</v>
      </c>
      <c r="AF33" s="47">
        <f t="shared" si="2"/>
        <v>0</v>
      </c>
      <c r="AG33" s="51">
        <f t="shared" si="2"/>
        <v>0</v>
      </c>
      <c r="AH33" s="48">
        <f t="shared" si="2"/>
        <v>0</v>
      </c>
      <c r="AI33" s="52">
        <f t="shared" si="2"/>
        <v>0</v>
      </c>
      <c r="AK33" s="45" t="str">
        <f t="shared" ref="AK33:AT33" si="3">+AK6</f>
        <v>STEFANY</v>
      </c>
      <c r="AL33" s="46" t="str">
        <f t="shared" si="3"/>
        <v>ERIKA</v>
      </c>
      <c r="AM33" s="47" t="str">
        <f t="shared" si="3"/>
        <v>ALISSON</v>
      </c>
      <c r="AN33" s="48" t="str">
        <f t="shared" si="3"/>
        <v>FATIMA</v>
      </c>
      <c r="AO33" s="49">
        <f t="shared" si="3"/>
        <v>0</v>
      </c>
      <c r="AP33" s="50">
        <f t="shared" si="3"/>
        <v>0</v>
      </c>
      <c r="AQ33" s="47">
        <f t="shared" si="3"/>
        <v>0</v>
      </c>
      <c r="AR33" s="51">
        <f t="shared" si="3"/>
        <v>0</v>
      </c>
      <c r="AS33" s="48">
        <f t="shared" si="3"/>
        <v>0</v>
      </c>
      <c r="AT33" s="52">
        <f t="shared" si="3"/>
        <v>0</v>
      </c>
      <c r="AV33" s="45" t="str">
        <f t="shared" ref="AV33:BE33" si="4">+AV6</f>
        <v>STEFANY</v>
      </c>
      <c r="AW33" s="46" t="str">
        <f t="shared" si="4"/>
        <v>ERIKA</v>
      </c>
      <c r="AX33" s="47" t="str">
        <f t="shared" si="4"/>
        <v>ALISSON</v>
      </c>
      <c r="AY33" s="48" t="str">
        <f t="shared" si="4"/>
        <v>FATIMA</v>
      </c>
      <c r="AZ33" s="49">
        <f t="shared" si="4"/>
        <v>0</v>
      </c>
      <c r="BA33" s="50">
        <f t="shared" si="4"/>
        <v>0</v>
      </c>
      <c r="BB33" s="47">
        <f t="shared" si="4"/>
        <v>0</v>
      </c>
      <c r="BC33" s="51">
        <f t="shared" si="4"/>
        <v>0</v>
      </c>
      <c r="BD33" s="48">
        <f t="shared" si="4"/>
        <v>0</v>
      </c>
      <c r="BE33" s="52">
        <f t="shared" si="4"/>
        <v>0</v>
      </c>
      <c r="BG33" s="45" t="str">
        <f t="shared" ref="BG33:BP33" si="5">+BG6</f>
        <v>STEFANY</v>
      </c>
      <c r="BH33" s="46" t="str">
        <f t="shared" si="5"/>
        <v>ERIKA</v>
      </c>
      <c r="BI33" s="47" t="str">
        <f t="shared" si="5"/>
        <v>ALISSON</v>
      </c>
      <c r="BJ33" s="48" t="str">
        <f t="shared" si="5"/>
        <v>FATIMA</v>
      </c>
      <c r="BK33" s="49">
        <f t="shared" si="5"/>
        <v>0</v>
      </c>
      <c r="BL33" s="50">
        <f t="shared" si="5"/>
        <v>0</v>
      </c>
      <c r="BM33" s="47">
        <f t="shared" si="5"/>
        <v>0</v>
      </c>
      <c r="BN33" s="51">
        <f t="shared" si="5"/>
        <v>0</v>
      </c>
      <c r="BO33" s="48">
        <f t="shared" si="5"/>
        <v>0</v>
      </c>
      <c r="BP33" s="52">
        <f t="shared" si="5"/>
        <v>0</v>
      </c>
      <c r="BR33" s="45" t="str">
        <f t="shared" ref="BR33:CA33" si="6">+BR6</f>
        <v>STEFANY</v>
      </c>
      <c r="BS33" s="46" t="str">
        <f t="shared" si="6"/>
        <v>ERIKA</v>
      </c>
      <c r="BT33" s="47" t="str">
        <f t="shared" si="6"/>
        <v>ALISSON</v>
      </c>
      <c r="BU33" s="48" t="str">
        <f t="shared" si="6"/>
        <v>FATIMA</v>
      </c>
      <c r="BV33" s="49" t="str">
        <f t="shared" si="6"/>
        <v>SEBASTIAN</v>
      </c>
      <c r="BW33" s="50">
        <f t="shared" si="6"/>
        <v>0</v>
      </c>
      <c r="BX33" s="47">
        <f t="shared" si="6"/>
        <v>0</v>
      </c>
      <c r="BY33" s="51">
        <f t="shared" si="6"/>
        <v>0</v>
      </c>
      <c r="BZ33" s="48">
        <f t="shared" si="6"/>
        <v>0</v>
      </c>
      <c r="CA33" s="52">
        <f t="shared" si="6"/>
        <v>0</v>
      </c>
    </row>
    <row r="34" spans="1:79" s="54" customFormat="1" ht="16.5" customHeight="1" x14ac:dyDescent="0.2">
      <c r="A34" s="53"/>
      <c r="C34" s="54" t="s">
        <v>9</v>
      </c>
      <c r="D34" s="55">
        <f>SUM(D7:D30)</f>
        <v>9</v>
      </c>
      <c r="E34" s="56">
        <f t="shared" ref="E34:M34" si="7">SUM(E7:E30)</f>
        <v>0</v>
      </c>
      <c r="F34" s="57">
        <f t="shared" si="7"/>
        <v>0</v>
      </c>
      <c r="G34" s="58">
        <f t="shared" si="7"/>
        <v>11</v>
      </c>
      <c r="H34" s="59">
        <f t="shared" si="7"/>
        <v>0</v>
      </c>
      <c r="I34" s="60">
        <f t="shared" si="7"/>
        <v>0</v>
      </c>
      <c r="J34" s="57">
        <f t="shared" si="7"/>
        <v>0</v>
      </c>
      <c r="K34" s="61">
        <f t="shared" si="7"/>
        <v>0</v>
      </c>
      <c r="L34" s="58">
        <f t="shared" si="7"/>
        <v>0</v>
      </c>
      <c r="M34" s="62">
        <f t="shared" si="7"/>
        <v>0</v>
      </c>
      <c r="O34" s="55">
        <f t="shared" ref="O34:X34" si="8">SUM(O7:O30)</f>
        <v>12.5</v>
      </c>
      <c r="P34" s="56">
        <f t="shared" si="8"/>
        <v>0</v>
      </c>
      <c r="Q34" s="57">
        <f t="shared" si="8"/>
        <v>8</v>
      </c>
      <c r="R34" s="58">
        <f t="shared" si="8"/>
        <v>0</v>
      </c>
      <c r="S34" s="59">
        <f t="shared" si="8"/>
        <v>0</v>
      </c>
      <c r="T34" s="60">
        <f t="shared" si="8"/>
        <v>0</v>
      </c>
      <c r="U34" s="57">
        <f t="shared" si="8"/>
        <v>0</v>
      </c>
      <c r="V34" s="61">
        <f t="shared" si="8"/>
        <v>0</v>
      </c>
      <c r="W34" s="58">
        <f t="shared" si="8"/>
        <v>0</v>
      </c>
      <c r="X34" s="62">
        <f t="shared" si="8"/>
        <v>0</v>
      </c>
      <c r="Z34" s="55">
        <f t="shared" ref="Z34:AI34" si="9">SUM(Z7:Z30)</f>
        <v>0</v>
      </c>
      <c r="AA34" s="56">
        <f t="shared" si="9"/>
        <v>0</v>
      </c>
      <c r="AB34" s="57">
        <f t="shared" si="9"/>
        <v>11</v>
      </c>
      <c r="AC34" s="58">
        <f t="shared" si="9"/>
        <v>8</v>
      </c>
      <c r="AD34" s="59">
        <f t="shared" si="9"/>
        <v>0</v>
      </c>
      <c r="AE34" s="60">
        <f t="shared" si="9"/>
        <v>0</v>
      </c>
      <c r="AF34" s="57">
        <f t="shared" si="9"/>
        <v>0</v>
      </c>
      <c r="AG34" s="61">
        <f t="shared" si="9"/>
        <v>0</v>
      </c>
      <c r="AH34" s="58">
        <f t="shared" si="9"/>
        <v>0</v>
      </c>
      <c r="AI34" s="62">
        <f t="shared" si="9"/>
        <v>0</v>
      </c>
      <c r="AK34" s="55">
        <f t="shared" ref="AK34:AT34" si="10">SUM(AK7:AK30)</f>
        <v>7</v>
      </c>
      <c r="AL34" s="56">
        <f t="shared" si="10"/>
        <v>0</v>
      </c>
      <c r="AM34" s="57">
        <f t="shared" si="10"/>
        <v>0</v>
      </c>
      <c r="AN34" s="58">
        <f t="shared" si="10"/>
        <v>7</v>
      </c>
      <c r="AO34" s="59">
        <f t="shared" si="10"/>
        <v>0</v>
      </c>
      <c r="AP34" s="60">
        <f t="shared" si="10"/>
        <v>0</v>
      </c>
      <c r="AQ34" s="57">
        <f t="shared" si="10"/>
        <v>0</v>
      </c>
      <c r="AR34" s="61">
        <f t="shared" si="10"/>
        <v>0</v>
      </c>
      <c r="AS34" s="58">
        <f t="shared" si="10"/>
        <v>0</v>
      </c>
      <c r="AT34" s="62">
        <f t="shared" si="10"/>
        <v>0</v>
      </c>
      <c r="AV34" s="55">
        <f t="shared" ref="AV34:BE34" si="11">SUM(AV7:AV30)</f>
        <v>8</v>
      </c>
      <c r="AW34" s="56">
        <f t="shared" si="11"/>
        <v>0</v>
      </c>
      <c r="AX34" s="57">
        <f t="shared" si="11"/>
        <v>0</v>
      </c>
      <c r="AY34" s="58">
        <f t="shared" si="11"/>
        <v>11</v>
      </c>
      <c r="AZ34" s="59">
        <f t="shared" si="11"/>
        <v>0</v>
      </c>
      <c r="BA34" s="60">
        <f t="shared" si="11"/>
        <v>0</v>
      </c>
      <c r="BB34" s="57">
        <f t="shared" si="11"/>
        <v>0</v>
      </c>
      <c r="BC34" s="61">
        <f t="shared" si="11"/>
        <v>0</v>
      </c>
      <c r="BD34" s="58">
        <f t="shared" si="11"/>
        <v>0</v>
      </c>
      <c r="BE34" s="62">
        <f t="shared" si="11"/>
        <v>0</v>
      </c>
      <c r="BG34" s="55">
        <f t="shared" ref="BG34:BP34" si="12">SUM(BG7:BG30)</f>
        <v>11</v>
      </c>
      <c r="BH34" s="56">
        <f t="shared" si="12"/>
        <v>0</v>
      </c>
      <c r="BI34" s="57">
        <f t="shared" si="12"/>
        <v>7</v>
      </c>
      <c r="BJ34" s="58">
        <f t="shared" si="12"/>
        <v>9</v>
      </c>
      <c r="BK34" s="59">
        <f t="shared" si="12"/>
        <v>0</v>
      </c>
      <c r="BL34" s="60">
        <f t="shared" si="12"/>
        <v>0</v>
      </c>
      <c r="BM34" s="57">
        <f t="shared" si="12"/>
        <v>0</v>
      </c>
      <c r="BN34" s="61">
        <f t="shared" si="12"/>
        <v>0</v>
      </c>
      <c r="BO34" s="58">
        <f t="shared" si="12"/>
        <v>0</v>
      </c>
      <c r="BP34" s="62">
        <f t="shared" si="12"/>
        <v>0</v>
      </c>
      <c r="BR34" s="55">
        <f t="shared" ref="BR34:CA34" si="13">SUM(BR7:BR30)</f>
        <v>7.5</v>
      </c>
      <c r="BS34" s="56">
        <f t="shared" si="13"/>
        <v>0</v>
      </c>
      <c r="BT34" s="57">
        <f t="shared" si="13"/>
        <v>7</v>
      </c>
      <c r="BU34" s="58">
        <f t="shared" si="13"/>
        <v>8</v>
      </c>
      <c r="BV34" s="59">
        <f t="shared" si="13"/>
        <v>0</v>
      </c>
      <c r="BW34" s="60">
        <f t="shared" si="13"/>
        <v>0</v>
      </c>
      <c r="BX34" s="57">
        <f t="shared" si="13"/>
        <v>0</v>
      </c>
      <c r="BY34" s="61">
        <f t="shared" si="13"/>
        <v>0</v>
      </c>
      <c r="BZ34" s="58">
        <f t="shared" si="13"/>
        <v>0</v>
      </c>
      <c r="CA34" s="62">
        <f t="shared" si="13"/>
        <v>0</v>
      </c>
    </row>
    <row r="35" spans="1:79" s="64" customFormat="1" ht="11.25" hidden="1" customHeight="1" x14ac:dyDescent="0.2">
      <c r="A35" s="63"/>
      <c r="C35" s="65" t="s">
        <v>10</v>
      </c>
      <c r="D35" s="66" t="e">
        <f ca="1">+_xlfn.CONCAT(IF(AND(D14=0.5,D15=0.5),"8:30 AM - 9:30 AM",IF(AND(D14=0.5,D15=0.5,COUNT(D16:D17)&lt;2),"8:30 AM - 9:30 AM",""))," Y ",IF(SUM(D15:D30)&gt;=7.5,"",""))</f>
        <v>#NAME?</v>
      </c>
      <c r="E35" s="67" t="str">
        <f t="shared" ref="E35:M35" si="14">+IF(AND(E14=0.5,E15=0.5),"8:30 AM - 9:30 AM","")</f>
        <v/>
      </c>
      <c r="F35" s="68" t="str">
        <f t="shared" si="14"/>
        <v/>
      </c>
      <c r="G35" s="69" t="str">
        <f t="shared" si="14"/>
        <v/>
      </c>
      <c r="H35" s="70" t="str">
        <f t="shared" si="14"/>
        <v/>
      </c>
      <c r="I35" s="71" t="str">
        <f t="shared" si="14"/>
        <v/>
      </c>
      <c r="J35" s="68" t="str">
        <f t="shared" si="14"/>
        <v/>
      </c>
      <c r="K35" s="72" t="str">
        <f t="shared" si="14"/>
        <v/>
      </c>
      <c r="L35" s="69" t="str">
        <f t="shared" si="14"/>
        <v/>
      </c>
      <c r="M35" s="73" t="str">
        <f t="shared" si="14"/>
        <v/>
      </c>
      <c r="N35" s="74"/>
      <c r="O35" s="66"/>
      <c r="P35" s="67"/>
      <c r="Q35" s="68"/>
      <c r="R35" s="69"/>
      <c r="S35" s="70"/>
      <c r="T35" s="71"/>
      <c r="U35" s="68"/>
      <c r="V35" s="72"/>
      <c r="W35" s="69"/>
      <c r="X35" s="73"/>
      <c r="Y35" s="74"/>
      <c r="Z35" s="66"/>
      <c r="AA35" s="67"/>
      <c r="AB35" s="68"/>
      <c r="AC35" s="69"/>
      <c r="AD35" s="70"/>
      <c r="AE35" s="71"/>
      <c r="AF35" s="68"/>
      <c r="AG35" s="72"/>
      <c r="AH35" s="69"/>
      <c r="AI35" s="73"/>
      <c r="AJ35" s="74"/>
      <c r="AK35" s="66"/>
      <c r="AL35" s="67"/>
      <c r="AM35" s="68"/>
      <c r="AN35" s="69"/>
      <c r="AO35" s="70"/>
      <c r="AP35" s="71"/>
      <c r="AQ35" s="68"/>
      <c r="AR35" s="72"/>
      <c r="AS35" s="69"/>
      <c r="AT35" s="73"/>
      <c r="AU35" s="74"/>
      <c r="AV35" s="66"/>
      <c r="AW35" s="67"/>
      <c r="AX35" s="68"/>
      <c r="AY35" s="69"/>
      <c r="AZ35" s="70"/>
      <c r="BA35" s="71"/>
      <c r="BB35" s="68"/>
      <c r="BC35" s="72"/>
      <c r="BD35" s="69"/>
      <c r="BE35" s="73"/>
      <c r="BF35" s="74"/>
      <c r="BG35" s="66"/>
      <c r="BH35" s="67"/>
      <c r="BI35" s="68"/>
      <c r="BJ35" s="69"/>
      <c r="BK35" s="70"/>
      <c r="BL35" s="71"/>
      <c r="BM35" s="68"/>
      <c r="BN35" s="72"/>
      <c r="BO35" s="69"/>
      <c r="BP35" s="73"/>
      <c r="BQ35" s="74"/>
      <c r="BR35" s="66"/>
      <c r="BS35" s="67"/>
      <c r="BT35" s="68"/>
      <c r="BU35" s="69"/>
      <c r="BV35" s="70"/>
      <c r="BW35" s="71"/>
      <c r="BX35" s="68"/>
      <c r="BY35" s="72"/>
      <c r="BZ35" s="69"/>
      <c r="CA35" s="73"/>
    </row>
    <row r="36" spans="1:79" ht="15" hidden="1" customHeight="1" x14ac:dyDescent="0.25">
      <c r="A36" s="2"/>
      <c r="C36" s="65"/>
      <c r="D36" s="66"/>
      <c r="E36" s="67"/>
      <c r="F36" s="68"/>
      <c r="G36" s="69"/>
      <c r="H36" s="70"/>
      <c r="I36" s="71"/>
      <c r="J36" s="68"/>
      <c r="K36" s="72"/>
      <c r="L36" s="69"/>
      <c r="M36" s="73"/>
      <c r="N36" s="75"/>
      <c r="O36" s="66"/>
      <c r="P36" s="67"/>
      <c r="Q36" s="68"/>
      <c r="R36" s="69"/>
      <c r="S36" s="70"/>
      <c r="T36" s="71"/>
      <c r="U36" s="68"/>
      <c r="V36" s="72"/>
      <c r="W36" s="69"/>
      <c r="X36" s="73"/>
      <c r="Y36" s="75"/>
      <c r="Z36" s="66"/>
      <c r="AA36" s="67"/>
      <c r="AB36" s="68"/>
      <c r="AC36" s="69"/>
      <c r="AD36" s="70"/>
      <c r="AE36" s="71"/>
      <c r="AF36" s="68"/>
      <c r="AG36" s="72"/>
      <c r="AH36" s="69"/>
      <c r="AI36" s="73"/>
      <c r="AJ36" s="75"/>
      <c r="AK36" s="66"/>
      <c r="AL36" s="67"/>
      <c r="AM36" s="68"/>
      <c r="AN36" s="69"/>
      <c r="AO36" s="70"/>
      <c r="AP36" s="71"/>
      <c r="AQ36" s="68"/>
      <c r="AR36" s="72"/>
      <c r="AS36" s="69"/>
      <c r="AT36" s="73"/>
      <c r="AU36" s="75"/>
      <c r="AV36" s="66"/>
      <c r="AW36" s="67"/>
      <c r="AX36" s="68"/>
      <c r="AY36" s="69"/>
      <c r="AZ36" s="70"/>
      <c r="BA36" s="71"/>
      <c r="BB36" s="68"/>
      <c r="BC36" s="72"/>
      <c r="BD36" s="69"/>
      <c r="BE36" s="73"/>
      <c r="BF36" s="75"/>
      <c r="BG36" s="66"/>
      <c r="BH36" s="67"/>
      <c r="BI36" s="68"/>
      <c r="BJ36" s="69"/>
      <c r="BK36" s="70"/>
      <c r="BL36" s="71"/>
      <c r="BM36" s="68"/>
      <c r="BN36" s="72"/>
      <c r="BO36" s="69"/>
      <c r="BP36" s="73"/>
      <c r="BQ36" s="75"/>
      <c r="BR36" s="66"/>
      <c r="BS36" s="67"/>
      <c r="BT36" s="68"/>
      <c r="BU36" s="69"/>
      <c r="BV36" s="70"/>
      <c r="BW36" s="71"/>
      <c r="BX36" s="68"/>
      <c r="BY36" s="72"/>
      <c r="BZ36" s="69"/>
      <c r="CA36" s="73"/>
    </row>
    <row r="37" spans="1:79" x14ac:dyDescent="0.25">
      <c r="A37" s="2"/>
      <c r="D37" s="76"/>
      <c r="E37" s="76" t="s">
        <v>11</v>
      </c>
      <c r="F37" s="76"/>
      <c r="G37" s="76"/>
      <c r="H37" s="76"/>
      <c r="I37" s="76"/>
      <c r="J37" s="76"/>
      <c r="K37" s="76"/>
      <c r="L37" s="76"/>
      <c r="M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V37" s="76"/>
      <c r="AW37" s="76"/>
      <c r="AX37" s="76"/>
      <c r="AY37" s="76"/>
      <c r="AZ37" s="76"/>
      <c r="BA37" s="76"/>
      <c r="BB37" s="76"/>
      <c r="BC37" s="76"/>
      <c r="BD37" s="76"/>
      <c r="BE37" s="76"/>
      <c r="BG37" s="76"/>
      <c r="BH37" s="76"/>
      <c r="BI37" s="76"/>
      <c r="BJ37" s="76"/>
      <c r="BK37" s="76"/>
      <c r="BL37" s="76"/>
      <c r="BM37" s="76"/>
      <c r="BN37" s="76"/>
      <c r="BO37" s="76"/>
      <c r="BP37" s="76"/>
      <c r="BR37" s="76"/>
      <c r="BS37" s="76"/>
      <c r="BT37" s="77"/>
      <c r="BU37" s="76"/>
      <c r="BV37" s="76"/>
      <c r="BW37" s="76"/>
      <c r="BX37" s="76"/>
      <c r="BY37" s="76"/>
      <c r="BZ37" s="76"/>
      <c r="CA37" s="76"/>
    </row>
    <row r="38" spans="1:79" x14ac:dyDescent="0.25">
      <c r="A38" s="2"/>
      <c r="B38" s="78" t="s">
        <v>12</v>
      </c>
      <c r="C38" s="79"/>
      <c r="D38" s="79"/>
      <c r="E38" s="79"/>
      <c r="F38" s="79"/>
      <c r="G38" s="79"/>
      <c r="H38" s="79"/>
      <c r="I38" s="79"/>
      <c r="J38" s="80"/>
      <c r="K38" s="81" t="s">
        <v>13</v>
      </c>
      <c r="L38" s="82" t="s">
        <v>14</v>
      </c>
      <c r="M38" s="83"/>
      <c r="N38" s="84" t="s">
        <v>15</v>
      </c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</row>
    <row r="39" spans="1:79" x14ac:dyDescent="0.25">
      <c r="A39" s="2"/>
      <c r="B39" s="85" t="s">
        <v>16</v>
      </c>
      <c r="C39" s="86"/>
      <c r="D39" s="86"/>
      <c r="E39" s="86"/>
      <c r="F39" s="86"/>
      <c r="G39" s="86"/>
      <c r="H39" s="86"/>
      <c r="I39" s="86"/>
      <c r="J39" s="87"/>
      <c r="K39" s="88">
        <f>+D34+O34+Z34+AK34+AV34+BG34+BR34</f>
        <v>55</v>
      </c>
      <c r="L39" s="89" t="s">
        <v>17</v>
      </c>
      <c r="M39" s="89"/>
      <c r="N39" s="89"/>
      <c r="O39">
        <f>48-55</f>
        <v>-7</v>
      </c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</row>
    <row r="40" spans="1:79" x14ac:dyDescent="0.25">
      <c r="A40" s="2"/>
      <c r="B40" s="90" t="s">
        <v>18</v>
      </c>
      <c r="C40" s="91"/>
      <c r="D40" s="91"/>
      <c r="E40" s="91"/>
      <c r="F40" s="91"/>
      <c r="G40" s="91"/>
      <c r="H40" s="91"/>
      <c r="I40" s="91"/>
      <c r="J40" s="92"/>
      <c r="K40" s="93">
        <f>+E34+P34+AA34+AL34+AW34+BH34+BS34</f>
        <v>0</v>
      </c>
      <c r="L40" s="89" t="s">
        <v>19</v>
      </c>
      <c r="M40" s="89"/>
      <c r="N40" s="89"/>
      <c r="O40"/>
      <c r="P40" t="s">
        <v>20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</row>
    <row r="41" spans="1:79" x14ac:dyDescent="0.25">
      <c r="A41" s="2"/>
      <c r="B41" s="94" t="s">
        <v>21</v>
      </c>
      <c r="C41" s="95"/>
      <c r="D41" s="95"/>
      <c r="E41" s="95"/>
      <c r="F41" s="95"/>
      <c r="G41" s="95"/>
      <c r="H41" s="95"/>
      <c r="I41" s="95"/>
      <c r="J41" s="96"/>
      <c r="K41" s="97">
        <f>+F34+Q34+AB34+AM34+AX34+BI34+BT34</f>
        <v>33</v>
      </c>
      <c r="L41" s="98" t="s">
        <v>22</v>
      </c>
      <c r="M41" s="99"/>
      <c r="N41" s="100"/>
      <c r="O41" s="101">
        <f>+K41+8+7</f>
        <v>48</v>
      </c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</row>
    <row r="42" spans="1:79" x14ac:dyDescent="0.25">
      <c r="A42" s="2"/>
      <c r="B42" s="102" t="s">
        <v>23</v>
      </c>
      <c r="C42" s="103"/>
      <c r="D42" s="103"/>
      <c r="E42" s="103"/>
      <c r="F42" s="103"/>
      <c r="G42" s="103"/>
      <c r="H42" s="103"/>
      <c r="I42" s="103"/>
      <c r="J42" s="104"/>
      <c r="K42" s="105">
        <f>+G34+R34+AC34+AN34+AY34+BJ34+BU34</f>
        <v>54</v>
      </c>
      <c r="L42" s="98" t="s">
        <v>24</v>
      </c>
      <c r="M42" s="99"/>
      <c r="N42" s="100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</row>
    <row r="43" spans="1:79" x14ac:dyDescent="0.25">
      <c r="B43" s="106"/>
      <c r="C43" s="107"/>
      <c r="D43" s="107"/>
      <c r="E43" s="107"/>
      <c r="F43" s="107"/>
      <c r="G43" s="107"/>
      <c r="H43" s="107"/>
      <c r="I43" s="107"/>
      <c r="J43" s="108"/>
      <c r="K43" s="109">
        <f>+H34+S34+AD34+AO34+AZ34+BK34+BV34</f>
        <v>0</v>
      </c>
      <c r="L43" s="110"/>
      <c r="M43" s="110"/>
      <c r="N43" s="110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</row>
    <row r="44" spans="1:79" ht="15" customHeight="1" x14ac:dyDescent="0.25">
      <c r="B44" s="111"/>
      <c r="C44" s="112"/>
      <c r="D44" s="112"/>
      <c r="E44" s="112"/>
      <c r="F44" s="112"/>
      <c r="G44" s="112"/>
      <c r="H44" s="112"/>
      <c r="I44" s="112"/>
      <c r="J44" s="113"/>
      <c r="K44" s="114">
        <f>+I34+T34+AE34+AP34+BA34+BL34+BW34</f>
        <v>0</v>
      </c>
      <c r="L44" s="110"/>
      <c r="M44" s="110"/>
      <c r="N44" s="110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</row>
    <row r="45" spans="1:79" ht="15" customHeight="1" x14ac:dyDescent="0.25">
      <c r="B45" s="94"/>
      <c r="C45" s="95"/>
      <c r="D45" s="95"/>
      <c r="E45" s="95"/>
      <c r="F45" s="95"/>
      <c r="G45" s="95"/>
      <c r="H45" s="95"/>
      <c r="I45" s="95"/>
      <c r="J45" s="96"/>
      <c r="K45" s="97">
        <f>+J34+U34+AF34+AQ34+BB34+BM34+BX34</f>
        <v>0</v>
      </c>
      <c r="L45" s="115"/>
      <c r="M45" s="116"/>
      <c r="N45" s="117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</row>
    <row r="46" spans="1:79" ht="15" customHeight="1" x14ac:dyDescent="0.25">
      <c r="B46" s="118"/>
      <c r="C46" s="119"/>
      <c r="D46" s="119"/>
      <c r="E46" s="119"/>
      <c r="F46" s="119"/>
      <c r="G46" s="119"/>
      <c r="H46" s="119"/>
      <c r="I46" s="119"/>
      <c r="J46" s="120"/>
      <c r="K46" s="121">
        <f>+K34+V34+AG34+AR34+BC34+BN34+BY34</f>
        <v>0</v>
      </c>
      <c r="L46" s="115"/>
      <c r="M46" s="116"/>
      <c r="N46" s="117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</row>
    <row r="47" spans="1:79" hidden="1" x14ac:dyDescent="0.25">
      <c r="B47" s="102"/>
      <c r="C47" s="103"/>
      <c r="D47" s="103"/>
      <c r="E47" s="103"/>
      <c r="F47" s="103"/>
      <c r="G47" s="103"/>
      <c r="H47" s="103"/>
      <c r="I47" s="103"/>
      <c r="J47" s="104"/>
      <c r="K47" s="105">
        <f>+L34+W34+AH34+AS34+BD34+BO34+BZ34</f>
        <v>0</v>
      </c>
      <c r="L47" s="110"/>
      <c r="M47" s="110"/>
      <c r="N47" s="110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</row>
    <row r="48" spans="1:79" hidden="1" x14ac:dyDescent="0.25">
      <c r="B48" s="122"/>
      <c r="C48" s="123"/>
      <c r="D48" s="123"/>
      <c r="E48" s="123"/>
      <c r="F48" s="123"/>
      <c r="G48" s="123"/>
      <c r="H48" s="123"/>
      <c r="I48" s="123"/>
      <c r="J48" s="124"/>
      <c r="K48" s="125">
        <f>+M34+X34+AI34+AT34+BE34+BP34+CA34</f>
        <v>0</v>
      </c>
      <c r="L48" s="110"/>
      <c r="M48" s="110"/>
      <c r="N48" s="110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</row>
  </sheetData>
  <sheetProtection selectLockedCells="1"/>
  <mergeCells count="98">
    <mergeCell ref="B47:J47"/>
    <mergeCell ref="L47:N47"/>
    <mergeCell ref="B48:J48"/>
    <mergeCell ref="L48:N48"/>
    <mergeCell ref="B44:J44"/>
    <mergeCell ref="L44:N44"/>
    <mergeCell ref="B45:J45"/>
    <mergeCell ref="L45:N45"/>
    <mergeCell ref="B46:J46"/>
    <mergeCell ref="L46:N46"/>
    <mergeCell ref="B41:J41"/>
    <mergeCell ref="L41:N41"/>
    <mergeCell ref="B42:J42"/>
    <mergeCell ref="L42:N42"/>
    <mergeCell ref="B43:J43"/>
    <mergeCell ref="L43:N43"/>
    <mergeCell ref="BZ35:BZ36"/>
    <mergeCell ref="CA35:CA36"/>
    <mergeCell ref="B39:J39"/>
    <mergeCell ref="L39:N39"/>
    <mergeCell ref="B40:J40"/>
    <mergeCell ref="L40:N40"/>
    <mergeCell ref="BT35:BT36"/>
    <mergeCell ref="BU35:BU36"/>
    <mergeCell ref="BV35:BV36"/>
    <mergeCell ref="BW35:BW36"/>
    <mergeCell ref="BX35:BX36"/>
    <mergeCell ref="BY35:BY36"/>
    <mergeCell ref="BM35:BM36"/>
    <mergeCell ref="BN35:BN36"/>
    <mergeCell ref="BO35:BO36"/>
    <mergeCell ref="BP35:BP36"/>
    <mergeCell ref="BR35:BR36"/>
    <mergeCell ref="BS35:BS36"/>
    <mergeCell ref="BG35:BG36"/>
    <mergeCell ref="BH35:BH36"/>
    <mergeCell ref="BI35:BI36"/>
    <mergeCell ref="BJ35:BJ36"/>
    <mergeCell ref="BK35:BK36"/>
    <mergeCell ref="BL35:BL36"/>
    <mergeCell ref="AZ35:AZ36"/>
    <mergeCell ref="BA35:BA36"/>
    <mergeCell ref="BB35:BB36"/>
    <mergeCell ref="BC35:BC36"/>
    <mergeCell ref="BD35:BD36"/>
    <mergeCell ref="BE35:BE36"/>
    <mergeCell ref="AS35:AS36"/>
    <mergeCell ref="AT35:AT36"/>
    <mergeCell ref="AV35:AV36"/>
    <mergeCell ref="AW35:AW36"/>
    <mergeCell ref="AX35:AX36"/>
    <mergeCell ref="AY35:AY36"/>
    <mergeCell ref="AM35:AM36"/>
    <mergeCell ref="AN35:AN36"/>
    <mergeCell ref="AO35:AO36"/>
    <mergeCell ref="AP35:AP36"/>
    <mergeCell ref="AQ35:AQ36"/>
    <mergeCell ref="AR35:AR36"/>
    <mergeCell ref="AF35:AF36"/>
    <mergeCell ref="AG35:AG36"/>
    <mergeCell ref="AH35:AH36"/>
    <mergeCell ref="AI35:AI36"/>
    <mergeCell ref="AK35:AK36"/>
    <mergeCell ref="AL35:AL36"/>
    <mergeCell ref="Z35:Z36"/>
    <mergeCell ref="AA35:AA36"/>
    <mergeCell ref="AB35:AB36"/>
    <mergeCell ref="AC35:AC36"/>
    <mergeCell ref="AD35:AD36"/>
    <mergeCell ref="AE35:AE36"/>
    <mergeCell ref="S35:S36"/>
    <mergeCell ref="T35:T36"/>
    <mergeCell ref="U35:U36"/>
    <mergeCell ref="V35:V36"/>
    <mergeCell ref="W35:W36"/>
    <mergeCell ref="X35:X36"/>
    <mergeCell ref="L35:L36"/>
    <mergeCell ref="M35:M36"/>
    <mergeCell ref="O35:O36"/>
    <mergeCell ref="P35:P36"/>
    <mergeCell ref="Q35:Q36"/>
    <mergeCell ref="R35:R36"/>
    <mergeCell ref="BR32:CA32"/>
    <mergeCell ref="C35:C36"/>
    <mergeCell ref="D35:D36"/>
    <mergeCell ref="E35:E36"/>
    <mergeCell ref="F35:F36"/>
    <mergeCell ref="G35:G36"/>
    <mergeCell ref="H35:H36"/>
    <mergeCell ref="I35:I36"/>
    <mergeCell ref="J35:J36"/>
    <mergeCell ref="K35:K36"/>
    <mergeCell ref="D32:M32"/>
    <mergeCell ref="O32:X32"/>
    <mergeCell ref="Z32:AI32"/>
    <mergeCell ref="AK32:AT32"/>
    <mergeCell ref="AV32:BE32"/>
    <mergeCell ref="BG32:BP32"/>
  </mergeCells>
  <conditionalFormatting sqref="D7:M14 D29:M30">
    <cfRule type="expression" dxfId="13" priority="14">
      <formula>IF(OR(D7=0,D7=""),TRUE(),FALSE())</formula>
    </cfRule>
  </conditionalFormatting>
  <conditionalFormatting sqref="D15:M28">
    <cfRule type="expression" dxfId="12" priority="13">
      <formula>IF(OR(D15=0,D15=""),TRUE(),FALSE())</formula>
    </cfRule>
  </conditionalFormatting>
  <conditionalFormatting sqref="O7:X14 O29:X30">
    <cfRule type="expression" dxfId="11" priority="12">
      <formula>IF(OR(O7=0,O7=""),TRUE(),FALSE())</formula>
    </cfRule>
  </conditionalFormatting>
  <conditionalFormatting sqref="O15:X28">
    <cfRule type="expression" dxfId="10" priority="11">
      <formula>IF(OR(O15=0,O15=""),TRUE(),FALSE())</formula>
    </cfRule>
  </conditionalFormatting>
  <conditionalFormatting sqref="Z7:AI14 Z29:AI30">
    <cfRule type="expression" dxfId="9" priority="10">
      <formula>IF(OR(Z7=0,Z7=""),TRUE(),FALSE())</formula>
    </cfRule>
  </conditionalFormatting>
  <conditionalFormatting sqref="Z15:AI28">
    <cfRule type="expression" dxfId="8" priority="9">
      <formula>IF(OR(Z15=0,Z15=""),TRUE(),FALSE())</formula>
    </cfRule>
  </conditionalFormatting>
  <conditionalFormatting sqref="AK7:AT14 AK29:AT30">
    <cfRule type="expression" dxfId="7" priority="8">
      <formula>IF(OR(AK7=0,AK7=""),TRUE(),FALSE())</formula>
    </cfRule>
  </conditionalFormatting>
  <conditionalFormatting sqref="AK15:AT19 AK20:AL21 AN20:AT21 AK22:AT22 AK23:AL28 AN23:AT28">
    <cfRule type="expression" dxfId="6" priority="7">
      <formula>IF(OR(AK15=0,AK15=""),TRUE(),FALSE())</formula>
    </cfRule>
  </conditionalFormatting>
  <conditionalFormatting sqref="AV7:BE14 AV29:BE30">
    <cfRule type="expression" dxfId="5" priority="6">
      <formula>IF(OR(AV7=0,AV7=""),TRUE(),FALSE())</formula>
    </cfRule>
  </conditionalFormatting>
  <conditionalFormatting sqref="AV15:BE20 AV21:AW22 AY21:BE22 AV23:BE23 AV24:AW28 AY24:BE28">
    <cfRule type="expression" dxfId="4" priority="5">
      <formula>IF(OR(AV15=0,AV15=""),TRUE(),FALSE())</formula>
    </cfRule>
  </conditionalFormatting>
  <conditionalFormatting sqref="BG7:BP14 BG29:BP30">
    <cfRule type="expression" dxfId="3" priority="4">
      <formula>IF(OR(BG7=0,BG7=""),TRUE(),FALSE())</formula>
    </cfRule>
  </conditionalFormatting>
  <conditionalFormatting sqref="BG15:BP28">
    <cfRule type="expression" dxfId="2" priority="3">
      <formula>IF(OR(BG15=0,BG15=""),TRUE(),FALSE())</formula>
    </cfRule>
  </conditionalFormatting>
  <conditionalFormatting sqref="BR7:CA14 BR29:CA30">
    <cfRule type="expression" dxfId="1" priority="2">
      <formula>IF(OR(BR7=0,BR7=""),TRUE(),FALSE())</formula>
    </cfRule>
  </conditionalFormatting>
  <conditionalFormatting sqref="BR15:CA28">
    <cfRule type="expression" dxfId="0" priority="1">
      <formula>IF(OR(BR15=0,BR15=""),TRUE(),FALSE())</formula>
    </cfRule>
  </conditionalFormatting>
  <dataValidations count="1">
    <dataValidation type="list" allowBlank="1" showInputMessage="1" showErrorMessage="1" sqref="D7:M30 O7:X30 Z7:AI30 AK7:AT30 BR7:CA30 BG7:BP30 AV7:BE30" xr:uid="{012C2D76-BA9F-4DAF-A2FA-1DA6AB95E42A}">
      <formula1>"DM,LAC,LM,VAC,1,0.5"</formula1>
    </dataValidation>
  </dataValidations>
  <pageMargins left="0.7" right="0.7" top="0.75" bottom="0.75" header="0.3" footer="0.3"/>
  <pageSetup paperSize="9" orientation="portrait" horizontalDpi="203" verticalDpi="20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03 AL 09 AGOSTO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RRHH BISSÚ</dc:creator>
  <cp:lastModifiedBy>RRHH BISSÚ</cp:lastModifiedBy>
  <dcterms:created xsi:type="dcterms:W3CDTF">2026-09-08T14:48:51Z</dcterms:created>
  <dcterms:modified xsi:type="dcterms:W3CDTF">2026-09-08T14:49:16Z</dcterms:modified>
</cp:coreProperties>
</file>